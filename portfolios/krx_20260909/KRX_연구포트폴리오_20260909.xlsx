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544774616d463f" /></Relationships>
</file>

<file path=xl/workbook.xml><?xml version="1.0" encoding="utf-8"?>
<x:workbook xmlns:x="http://schemas.openxmlformats.org/spreadsheetml/2006/main">
  <x:sheets>
    <x:sheet xmlns:r="http://schemas.openxmlformats.org/officeDocument/2006/relationships" name="포트폴리오" sheetId="1" r:id="R4f6940f45ee14f3d"/>
    <x:sheet xmlns:r="http://schemas.openxmlformats.org/officeDocument/2006/relationships" name="후보 비교" sheetId="2" r:id="R9a230033f3904d24"/>
    <x:sheet xmlns:r="http://schemas.openxmlformats.org/officeDocument/2006/relationships" name="투자자 근거" sheetId="3" r:id="R87d72278af284585"/>
    <x:sheet xmlns:r="http://schemas.openxmlformats.org/officeDocument/2006/relationships" name="재무 입력" sheetId="4" r:id="Re0ac4f2528484bf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
    <x:numFmt numFmtId="202" formatCode="0%"/>
    <x:numFmt numFmtId="203" formatCode="#,##0.00;(#,##0.00);&quot;-&quot;"/>
    <x:numFmt numFmtId="204" formatCode="#,##0.0;(#,##0.0);&quot;-&quot;"/>
    <x:numFmt numFmtId="205" formatCode="000000"/>
  </x:numFmts>
  <x:fonts count="5">
    <x:font>
      <x:sz val="11"/>
      <x:name val="Carlito"/>
    </x:font>
    <x:font>
      <x:sz val="10"/>
      <x:color rgb="FF152D3A"/>
      <x:name val="Malgun Gothic"/>
    </x:font>
    <x:font>
      <x:b/>
      <x:sz val="16"/>
      <x:color rgb="FF193747"/>
      <x:name val="Malgun Gothic"/>
    </x:font>
    <x:font>
      <x:sz val="10"/>
      <x:color rgb="FF556973"/>
      <x:name val="Malgun Gothic"/>
    </x:font>
    <x:font>
      <x:b/>
      <x:sz val="10"/>
      <x:color rgb="FFFFFFFF"/>
      <x:name val="Malgun Gothic"/>
    </x:font>
  </x:fonts>
  <x:fills count="5">
    <x:fill>
      <x:patternFill patternType="none"/>
    </x:fill>
    <x:fill>
      <x:patternFill patternType="gray125"/>
    </x:fill>
    <x:fill>
      <x:patternFill patternType="solid">
        <x:fgColor rgb="FF193747"/>
      </x:patternFill>
    </x:fill>
    <x:fill>
      <x:patternFill patternType="solid">
        <x:fgColor rgb="FFEAF1F4"/>
      </x:patternFill>
    </x:fill>
    <x:fill>
      <x:patternFill patternType="solid">
        <x:fgColor rgb="FFF3F6F8"/>
      </x:patternFill>
    </x:fill>
  </x:fills>
  <x:borders count="1">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1" fontId="1" fillId="4"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4"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3" fontId="1" fillId="4" borderId="0" xfId="0" applyNumberFormat="1" applyFont="1" applyFill="1" applyBorder="1" applyAlignment="1">
      <x:alignment vertical="center"/>
    </x:xf>
    <x:xf numFmtId="204" fontId="1" fillId="4"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2" fillId="0" borderId="0" xfId="0" applyNumberFormat="1" applyFont="1" applyFill="1" applyBorder="1" applyAlignment="1">
      <x:alignment vertical="center"/>
    </x:xf>
    <x:xf numFmtId="205" fontId="3" fillId="0" borderId="0" xfId="0" applyNumberFormat="1" applyFont="1" applyFill="1" applyBorder="1" applyAlignment="1">
      <x:alignment vertical="center"/>
    </x:xf>
    <x:xf numFmtId="205" fontId="4" fillId="2" borderId="0" xfId="0" applyNumberFormat="1" applyFont="1" applyFill="1" applyBorder="1" applyAlignment="1">
      <x:alignment horizontal="center" vertical="center"/>
    </x:xf>
    <x:xf numFmtId="205" fontId="1" fillId="4" borderId="0" xfId="0" applyNumberFormat="1" applyFont="1" applyFill="1" applyBorder="1" applyAlignment="1">
      <x:alignment vertical="center"/>
    </x:xf>
    <x:xf numFmtId="205" fontId="1" fillId="3" borderId="0" xfId="0" applyNumberFormat="1" applyFont="1" applyFill="1" applyBorder="1" applyAlignment="1">
      <x:alignment vertical="center"/>
    </x:xf>
    <x:xf numFmtId="205"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620eb3785f483c" /><Relationship Type="http://schemas.openxmlformats.org/officeDocument/2006/relationships/theme" Target="/xl/theme/theme1.xml" Id="R31d6c2edb11145a9" /><Relationship Type="http://schemas.openxmlformats.org/officeDocument/2006/relationships/sharedStrings" Target="/xl/sharedStrings.xml" Id="R1b36850c61374275" /><Relationship Type="http://schemas.openxmlformats.org/officeDocument/2006/relationships/worksheet" Target="/xl/worksheets/sheet1.xml" Id="R4f6940f45ee14f3d" /><Relationship Type="http://schemas.openxmlformats.org/officeDocument/2006/relationships/worksheet" Target="/xl/worksheets/sheet2.xml" Id="R9a230033f3904d24" /><Relationship Type="http://schemas.openxmlformats.org/officeDocument/2006/relationships/worksheet" Target="/xl/worksheets/sheet3.xml" Id="R87d72278af284585" /><Relationship Type="http://schemas.openxmlformats.org/officeDocument/2006/relationships/worksheet" Target="/xl/worksheets/sheet4.xml" Id="Re0ac4f2528484b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93747"/>
  </x:sheetPr>
  <x:sheetViews>
    <x:sheetView showGridLines="0" workbookViewId="0"/>
  </x:sheetViews>
  <x:sheetFormatPr defaultRowHeight="15"/>
  <x:cols>
    <x:col min="1" max="1" width="12" hidden="0" customWidth="1"/>
    <x:col min="2" max="2" width="23" hidden="0" customWidth="1"/>
    <x:col min="3" max="3" width="15" hidden="0" customWidth="1"/>
    <x:col min="4" max="4" width="22" hidden="0" customWidth="1"/>
    <x:col min="5" max="5" width="15" hidden="0" customWidth="1"/>
    <x:col min="6" max="6" width="15" hidden="0" customWidth="1"/>
    <x:col min="7" max="7" width="15" hidden="0" customWidth="1"/>
    <x:col min="8" max="8" width="51" hidden="0" customWidth="1"/>
  </x:cols>
  <x:sheetData>
    <x:row r="1" ht="24" customHeight="1">
      <x:c r="A1" s="23"/>
      <x:c r="B1" s="2"/>
      <x:c r="C1" s="2"/>
      <x:c r="D1" s="2"/>
      <x:c r="E1" s="2"/>
      <x:c r="F1" s="2"/>
      <x:c r="G1" s="2"/>
      <x:c r="H1" s="2"/>
    </x:row>
    <x:row r="2" ht="30" customHeight="1">
      <x:c r="A2" s="24" t="str">
        <x:v>KRX 연구 포트폴리오</x:v>
      </x:c>
      <x:c r="B2" s="2"/>
      <x:c r="C2" s="2"/>
      <x:c r="D2" s="2"/>
      <x:c r="E2" s="2"/>
      <x:c r="F2" s="2"/>
      <x:c r="G2" s="2"/>
      <x:c r="H2" s="2"/>
    </x:row>
    <x:row r="3" ht="24" customHeight="1">
      <x:c r="A3" s="23"/>
      <x:c r="B3" s="2"/>
      <x:c r="C3" s="2"/>
      <x:c r="D3" s="2"/>
      <x:c r="E3" s="2"/>
      <x:c r="F3" s="2"/>
      <x:c r="G3" s="2"/>
      <x:c r="H3" s="2"/>
    </x:row>
    <x:row r="4" ht="24" customHeight="1">
      <x:c r="A4" s="25" t="str">
        <x:v>분석·종목 가격 2026-09-09. 시가총액·유니버스·시장 벤치마크 2026-09-08.</x:v>
      </x:c>
      <x:c r="B4" s="4"/>
      <x:c r="C4" s="4"/>
      <x:c r="D4" s="4"/>
      <x:c r="E4" s="4"/>
      <x:c r="F4" s="4"/>
      <x:c r="G4" s="4"/>
      <x:c r="H4" s="4"/>
    </x:row>
    <x:row r="5" ht="24" customHeight="1">
      <x:c r="A5" s="25" t="str">
        <x:v>KOSPI 시총 상위 200개 + KOSDAQ 시총 상위 150개 대체 유니버스. 정식 지수 구성종목과 다름.</x:v>
      </x:c>
      <x:c r="B5" s="4"/>
      <x:c r="C5" s="4"/>
      <x:c r="D5" s="4"/>
      <x:c r="E5" s="4"/>
      <x:c r="F5" s="4"/>
      <x:c r="G5" s="4"/>
      <x:c r="H5" s="4"/>
    </x:row>
    <x:row r="6" ht="24" customHeight="1">
      <x:c r="A6" s="25" t="str">
        <x:v>팩터 prior_only. 전체 파이프라인 OOS 미검증. 뉴스는 위험·설명 전용. confidence는 성공 확률이 아님.</x:v>
      </x:c>
      <x:c r="B6" s="4"/>
      <x:c r="C6" s="4"/>
      <x:c r="D6" s="4"/>
      <x:c r="E6" s="4"/>
      <x:c r="F6" s="4"/>
      <x:c r="G6" s="4"/>
      <x:c r="H6" s="4"/>
    </x:row>
    <x:row r="7" ht="24" customHeight="1">
      <x:c r="A7" s="23"/>
      <x:c r="B7" s="2"/>
      <x:c r="C7" s="2"/>
      <x:c r="D7" s="2"/>
      <x:c r="E7" s="2"/>
      <x:c r="F7" s="2"/>
      <x:c r="G7" s="2"/>
      <x:c r="H7" s="2"/>
    </x:row>
    <x:row r="8" ht="24" customHeight="1">
      <x:c r="A8" s="23" t="str">
        <x:v>주식 비중</x:v>
      </x:c>
      <x:c r="B8" s="5" t="n">
        <x:f>SUM(C13:C17)</x:f>
        <x:v>0.75</x:v>
      </x:c>
      <x:c r="C8" s="2"/>
      <x:c r="D8" s="2" t="str">
        <x:v>현금 비중</x:v>
      </x:c>
      <x:c r="E8" s="5" t="n">
        <x:f>C18</x:f>
        <x:v>0.25</x:v>
      </x:c>
      <x:c r="F8" s="2"/>
      <x:c r="G8" s="2" t="str">
        <x:v>시장 현금 목표</x:v>
      </x:c>
      <x:c r="H8" s="5" t="n">
        <x:v>0.0778</x:v>
      </x:c>
    </x:row>
    <x:row r="9" ht="24" customHeight="1">
      <x:c r="A9" s="23"/>
      <x:c r="B9" s="2"/>
      <x:c r="C9" s="2"/>
      <x:c r="D9" s="2"/>
      <x:c r="E9" s="2"/>
      <x:c r="F9" s="2"/>
      <x:c r="G9" s="2"/>
      <x:c r="H9" s="2"/>
    </x:row>
    <x:row r="10" ht="24" customHeight="1">
      <x:c r="A10" s="23" t="str">
        <x:v>5종목 모두 15% 상한에 도달해 실제 현금은 25%. 종목별 위험이 같다는 뜻은 아니다.</x:v>
      </x:c>
      <x:c r="B10" s="2"/>
      <x:c r="C10" s="2"/>
      <x:c r="D10" s="2"/>
      <x:c r="E10" s="2"/>
      <x:c r="F10" s="2"/>
      <x:c r="G10" s="2"/>
      <x:c r="H10" s="2"/>
    </x:row>
    <x:row r="11" ht="24" customHeight="1">
      <x:c r="A11" s="23"/>
      <x:c r="B11" s="2"/>
      <x:c r="C11" s="2"/>
      <x:c r="D11" s="2"/>
      <x:c r="E11" s="2"/>
      <x:c r="F11" s="2"/>
      <x:c r="G11" s="2"/>
      <x:c r="H11" s="2"/>
    </x:row>
    <x:row r="12" ht="30" customHeight="1">
      <x:c r="A12" s="26" t="str">
        <x:v>종목코드</x:v>
      </x:c>
      <x:c r="B12" s="8" t="str">
        <x:v>종목명</x:v>
      </x:c>
      <x:c r="C12" s="8" t="str">
        <x:v>비중</x:v>
      </x:c>
      <x:c r="D12" s="8" t="str">
        <x:v>섹터</x:v>
      </x:c>
      <x:c r="E12" s="8" t="str">
        <x:v>합의 신뢰도</x:v>
      </x:c>
      <x:c r="F12" s="8" t="str">
        <x:v>연환산 변동성</x:v>
      </x:c>
      <x:c r="G12" s="8" t="str">
        <x:v>긍정 관점 수</x:v>
      </x:c>
      <x:c r="H12" s="8" t="str">
        <x:v>편입 근거</x:v>
      </x:c>
    </x:row>
    <x:row r="13" ht="24" customHeight="1">
      <x:c r="A13" s="23" t="str">
        <x:v>003230</x:v>
      </x:c>
      <x:c r="B13" s="2" t="str">
        <x:v>삼양식품</x:v>
      </x:c>
      <x:c r="C13" s="5" t="n">
        <x:v>0.15</x:v>
      </x:c>
      <x:c r="D13" s="2" t="str">
        <x:v>Consumer Staples</x:v>
      </x:c>
      <x:c r="E13" s="5" t="n">
        <x:v>0.69</x:v>
      </x:c>
      <x:c r="F13" s="5" t="n">
        <x:v>0.5106887207569746</x:v>
      </x:c>
      <x:c r="G13" s="2" t="str">
        <x:v>2/3</x:v>
      </x:c>
      <x:c r="H13" s="11" t="str">
        <x:v>반기 매출 성장과 투자 후 현금 회복</x:v>
      </x:c>
    </x:row>
    <x:row r="14" ht="24" customHeight="1">
      <x:c r="A14" s="27" t="str">
        <x:v>062040</x:v>
      </x:c>
      <x:c r="B14" s="12" t="str">
        <x:v>산일전기</x:v>
      </x:c>
      <x:c r="C14" s="13" t="n">
        <x:v>0.15</x:v>
      </x:c>
      <x:c r="D14" s="12" t="str">
        <x:v>Industrials</x:v>
      </x:c>
      <x:c r="E14" s="13" t="n">
        <x:v>0.64</x:v>
      </x:c>
      <x:c r="F14" s="13" t="n">
        <x:v>0.8627360801854751</x:v>
      </x:c>
      <x:c r="G14" s="12" t="str">
        <x:v>2/3</x:v>
      </x:c>
      <x:c r="H14" s="14" t="str">
        <x:v>매출·마진 성장과 낮은 부채 비율</x:v>
      </x:c>
    </x:row>
    <x:row r="15" ht="24" customHeight="1">
      <x:c r="A15" s="23" t="str">
        <x:v>214450</x:v>
      </x:c>
      <x:c r="B15" s="2" t="str">
        <x:v>파마리서치</x:v>
      </x:c>
      <x:c r="C15" s="5" t="n">
        <x:v>0.15</x:v>
      </x:c>
      <x:c r="D15" s="2" t="str">
        <x:v>Healthcare</x:v>
      </x:c>
      <x:c r="E15" s="5" t="n">
        <x:v>0.63</x:v>
      </x:c>
      <x:c r="F15" s="5" t="n">
        <x:v>0.7090246248164778</x:v>
      </x:c>
      <x:c r="G15" s="2" t="str">
        <x:v>3/3</x:v>
      </x:c>
      <x:c r="H15" s="11" t="str">
        <x:v>높은 수익성과 3개 관점 긍정</x:v>
      </x:c>
    </x:row>
    <x:row r="16" ht="24" customHeight="1">
      <x:c r="A16" s="27" t="str">
        <x:v>483650</x:v>
      </x:c>
      <x:c r="B16" s="12" t="str">
        <x:v>달바글로벌</x:v>
      </x:c>
      <x:c r="C16" s="13" t="n">
        <x:v>0.15</x:v>
      </x:c>
      <x:c r="D16" s="12" t="str">
        <x:v>Consumer Staples</x:v>
      </x:c>
      <x:c r="E16" s="13" t="n">
        <x:v>0.65</x:v>
      </x:c>
      <x:c r="F16" s="13" t="n">
        <x:v>0.6726120563027311</x:v>
      </x:c>
      <x:c r="G16" s="12" t="str">
        <x:v>3/3</x:v>
      </x:c>
      <x:c r="H16" s="14" t="str">
        <x:v>반기 성장·현금 전환과 3개 관점 긍정</x:v>
      </x:c>
    </x:row>
    <x:row r="17" ht="24" customHeight="1">
      <x:c r="A17" s="23" t="str">
        <x:v>326030</x:v>
      </x:c>
      <x:c r="B17" s="2" t="str">
        <x:v>SK바이오팜</x:v>
      </x:c>
      <x:c r="C17" s="5" t="n">
        <x:v>0.15</x:v>
      </x:c>
      <x:c r="D17" s="2" t="str">
        <x:v>Healthcare</x:v>
      </x:c>
      <x:c r="E17" s="5" t="n">
        <x:v>0.62</x:v>
      </x:c>
      <x:c r="F17" s="5" t="n">
        <x:v>0.4617887938326112</x:v>
      </x:c>
      <x:c r="G17" s="2" t="str">
        <x:v>2/3</x:v>
      </x:c>
      <x:c r="H17" s="11" t="str">
        <x:v>흑자 전환 후 성장과 현금 창출</x:v>
      </x:c>
    </x:row>
    <x:row r="18" ht="24" customHeight="1">
      <x:c r="A18" s="27" t="str">
        <x:v>CASH</x:v>
      </x:c>
      <x:c r="B18" s="12" t="str">
        <x:v>현금</x:v>
      </x:c>
      <x:c r="C18" s="13" t="n">
        <x:v>0.25</x:v>
      </x:c>
      <x:c r="D18" s="12" t="str">
        <x:v>현금</x:v>
      </x:c>
      <x:c r="E18" s="12"/>
      <x:c r="F18" s="12"/>
      <x:c r="G18" s="12"/>
      <x:c r="H18" s="14" t="str">
        <x:v>시장 목표와 종목·섹터 제약 반영</x:v>
      </x:c>
    </x:row>
    <x:row r="19" ht="24" customHeight="1">
      <x:c r="A19" s="28"/>
      <x:c r="B19" s="9" t="str">
        <x:v>합계</x:v>
      </x:c>
      <x:c r="C19" s="10" t="n">
        <x:f>SUM(C13:C18)</x:f>
        <x:v>1</x:v>
      </x:c>
      <x:c r="D19" s="9"/>
      <x:c r="E19" s="9"/>
      <x:c r="F19" s="9"/>
      <x:c r="G19" s="9"/>
      <x:c r="H19" s="9"/>
    </x:row>
    <x:row r="20" ht="24" customHeight="1">
      <x:c r="A20" s="23"/>
      <x:c r="B20" s="2"/>
      <x:c r="C20" s="2"/>
      <x:c r="D20" s="2"/>
      <x:c r="E20" s="2"/>
      <x:c r="F20" s="2"/>
      <x:c r="G20" s="2"/>
      <x:c r="H20" s="2"/>
    </x:row>
    <x:row r="21" ht="24" customHeight="1">
      <x:c r="A21" s="23"/>
      <x:c r="B21" s="2"/>
      <x:c r="C21" s="2"/>
      <x:c r="D21" s="2"/>
      <x:c r="E21" s="2"/>
      <x:c r="F21" s="2"/>
      <x:c r="G21" s="2"/>
      <x:c r="H21" s="2"/>
    </x:row>
    <x:row r="22" ht="24" customHeight="1">
      <x:c r="A22" s="23"/>
      <x:c r="B22" s="2"/>
      <x:c r="C22" s="2"/>
      <x:c r="D22" s="2"/>
      <x:c r="E22" s="2"/>
      <x:c r="F22" s="2"/>
      <x:c r="G22" s="2"/>
      <x:c r="H22" s="2"/>
    </x:row>
    <x:row r="23" ht="30" customHeight="1">
      <x:c r="A23" s="23"/>
      <x:c r="B23" s="8" t="str">
        <x:v>섹터</x:v>
      </x:c>
      <x:c r="C23" s="8" t="str">
        <x:v>한도</x:v>
      </x:c>
      <x:c r="D23" s="8" t="str">
        <x:v>배분 비중</x:v>
      </x:c>
      <x:c r="E23" s="2"/>
      <x:c r="F23" s="2"/>
      <x:c r="G23" s="2"/>
      <x:c r="H23" s="2"/>
    </x:row>
    <x:row r="24" ht="24" customHeight="1">
      <x:c r="A24" s="23"/>
      <x:c r="B24" s="2" t="str">
        <x:v>Consumer Staples</x:v>
      </x:c>
      <x:c r="C24" s="5" t="n">
        <x:v>0.35</x:v>
      </x:c>
      <x:c r="D24" s="5" t="n">
        <x:f>SUMIFS($C$13:$C$17,$D$13:$D$17,B24)</x:f>
        <x:v>0.3</x:v>
      </x:c>
      <x:c r="E24" s="2"/>
      <x:c r="F24" s="2"/>
      <x:c r="G24" s="2"/>
      <x:c r="H24" s="2"/>
    </x:row>
    <x:row r="25" ht="24" customHeight="1">
      <x:c r="A25" s="23"/>
      <x:c r="B25" s="2" t="str">
        <x:v>Healthcare</x:v>
      </x:c>
      <x:c r="C25" s="5" t="n">
        <x:v>0.35</x:v>
      </x:c>
      <x:c r="D25" s="5" t="n">
        <x:f>SUMIFS($C$13:$C$17,$D$13:$D$17,B25)</x:f>
        <x:v>0.3</x:v>
      </x:c>
      <x:c r="E25" s="2"/>
      <x:c r="F25" s="2"/>
      <x:c r="G25" s="2"/>
      <x:c r="H25" s="2"/>
    </x:row>
    <x:row r="26" ht="24" customHeight="1">
      <x:c r="A26" s="23"/>
      <x:c r="B26" s="2" t="str">
        <x:v>Industrials</x:v>
      </x:c>
      <x:c r="C26" s="5" t="n">
        <x:v>0.35</x:v>
      </x:c>
      <x:c r="D26" s="5" t="n">
        <x:f>SUMIFS($C$13:$C$17,$D$13:$D$17,B26)</x:f>
        <x:v>0.15</x:v>
      </x:c>
      <x:c r="E26" s="2"/>
      <x:c r="F26" s="2"/>
      <x:c r="G26" s="2"/>
      <x:c r="H26" s="2"/>
    </x:row>
    <x:row r="27" ht="24" customHeight="1">
      <x:c r="A27" s="23"/>
      <x:c r="B27" s="2"/>
      <x:c r="C27" s="2"/>
      <x:c r="D27" s="2"/>
      <x:c r="E27" s="2"/>
      <x:c r="F27" s="2"/>
      <x:c r="G27" s="2"/>
      <x:c r="H27" s="2"/>
    </x:row>
    <x:row r="28" ht="24" customHeight="1">
      <x:c r="A28" s="23"/>
      <x:c r="B28" s="2"/>
      <x:c r="C28" s="2"/>
      <x:c r="D28" s="2"/>
      <x:c r="E28" s="2"/>
      <x:c r="F28" s="2"/>
      <x:c r="G28" s="2"/>
      <x:c r="H28" s="2"/>
    </x:row>
    <x:row r="29" ht="24" customHeight="1">
      <x:c r="A29" s="23"/>
      <x:c r="B29" s="2"/>
      <x:c r="C29" s="2"/>
      <x:c r="D29" s="2"/>
      <x:c r="E29" s="2"/>
      <x:c r="F29" s="2"/>
      <x:c r="G29" s="2"/>
      <x:c r="H29" s="2"/>
    </x:row>
    <x:row r="30" ht="24" customHeight="1">
      <x:c r="A30" s="23"/>
      <x:c r="B30" s="2"/>
      <x:c r="C30" s="2"/>
      <x:c r="D30" s="2"/>
      <x:c r="E30" s="2"/>
      <x:c r="F30" s="2"/>
      <x:c r="G30" s="2"/>
      <x:c r="H30" s="2"/>
    </x:row>
    <x:row r="31">
      <x:c r="A31" s="29"/>
    </x:row>
    <x:row r="32">
      <x:c r="A32" s="29"/>
    </x:row>
    <x:row r="33">
      <x:c r="A33" s="29"/>
    </x:row>
    <x:row r="34">
      <x:c r="A34" s="29"/>
    </x:row>
    <x:row r="35">
      <x:c r="A35" s="29"/>
    </x:row>
    <x:row r="36">
      <x:c r="A36" s="29"/>
    </x:row>
    <x:row r="37">
      <x:c r="A37" s="29"/>
    </x:row>
    <x:row r="38">
      <x:c r="A38" s="29"/>
    </x:row>
    <x:row r="39">
      <x:c r="A39" s="29"/>
    </x:row>
    <x:row r="40">
      <x:c r="A40" s="29"/>
    </x:row>
    <x:row r="41">
      <x:c r="A41" s="29"/>
    </x:row>
    <x:row r="42">
      <x:c r="A42" s="29"/>
    </x:row>
    <x:row r="43">
      <x:c r="A43" s="29"/>
    </x:row>
    <x:row r="44">
      <x:c r="A44" s="29"/>
    </x:row>
    <x:row r="45">
      <x:c r="A45" s="29"/>
    </x:row>
    <x:row r="46">
      <x:c r="A46" s="29"/>
    </x:row>
    <x:row r="47">
      <x:c r="A47" s="29"/>
    </x:row>
    <x:row r="48">
      <x:c r="A48" s="29"/>
    </x:row>
    <x:row r="49">
      <x:c r="A49" s="29"/>
    </x:row>
    <x:row r="50">
      <x:c r="A50" s="29"/>
    </x:row>
    <x:row r="51">
      <x:c r="A51" s="29"/>
    </x:row>
    <x:row r="52">
      <x:c r="A52" s="29"/>
    </x:row>
    <x:row r="53">
      <x:c r="A53" s="29"/>
    </x:row>
    <x:row r="54">
      <x:c r="A54" s="29"/>
    </x:row>
    <x:row r="55">
      <x:c r="A55" s="29"/>
    </x:row>
    <x:row r="56">
      <x:c r="A56" s="29"/>
    </x:row>
    <x:row r="57">
      <x:c r="A57" s="29"/>
    </x:row>
    <x:row r="58">
      <x:c r="A58" s="29"/>
    </x:row>
    <x:row r="59">
      <x:c r="A59" s="29"/>
    </x:row>
    <x:row r="60">
      <x:c r="A60" s="29"/>
    </x:row>
    <x:row r="61">
      <x:c r="A61" s="29"/>
    </x:row>
    <x:row r="62">
      <x:c r="A62" s="29"/>
    </x:row>
    <x:row r="63">
      <x:c r="A63" s="29"/>
    </x:row>
    <x:row r="64">
      <x:c r="A64" s="29"/>
    </x:row>
    <x:row r="65">
      <x:c r="A65" s="29"/>
    </x:row>
    <x:row r="66">
      <x:c r="A66" s="29"/>
    </x:row>
    <x:row r="67">
      <x:c r="A67" s="29"/>
    </x:row>
    <x:row r="68">
      <x:c r="A68" s="29"/>
    </x:row>
    <x:row r="69">
      <x:c r="A69" s="29"/>
    </x:row>
    <x:row r="70">
      <x:c r="A70" s="29"/>
    </x:row>
    <x:row r="71">
      <x:c r="A71" s="29"/>
    </x:row>
    <x:row r="72">
      <x:c r="A72" s="29"/>
    </x:row>
    <x:row r="73">
      <x:c r="A73" s="29"/>
    </x:row>
    <x:row r="74">
      <x:c r="A74" s="29"/>
    </x:row>
    <x:row r="75">
      <x:c r="A75" s="29"/>
    </x:row>
    <x:row r="76">
      <x:c r="A76" s="29"/>
    </x:row>
    <x:row r="77">
      <x:c r="A77" s="29"/>
    </x:row>
    <x:row r="78">
      <x:c r="A78" s="29"/>
    </x:row>
    <x:row r="79">
      <x:c r="A79" s="29"/>
    </x:row>
    <x:row r="80">
      <x:c r="A80" s="29"/>
    </x:row>
    <x:row r="81">
      <x:c r="A81" s="29"/>
    </x:row>
    <x:row r="82">
      <x:c r="A82" s="29"/>
    </x:row>
    <x:row r="83">
      <x:c r="A83" s="29"/>
    </x:row>
    <x:row r="84">
      <x:c r="A84" s="29"/>
    </x:row>
    <x:row r="85">
      <x:c r="A85" s="29"/>
    </x:row>
    <x:row r="86">
      <x:c r="A86" s="29"/>
    </x:row>
    <x:row r="87">
      <x:c r="A87" s="29"/>
    </x:row>
    <x:row r="88">
      <x:c r="A88" s="29"/>
    </x:row>
    <x:row r="89">
      <x:c r="A89" s="29"/>
    </x:row>
    <x:row r="90">
      <x:c r="A90" s="29"/>
    </x:row>
    <x:row r="91">
      <x:c r="A91" s="29"/>
    </x:row>
    <x:row r="92">
      <x:c r="A92" s="29"/>
    </x:row>
    <x:row r="93">
      <x:c r="A93" s="29"/>
    </x:row>
    <x:row r="94">
      <x:c r="A94" s="29"/>
    </x:row>
    <x:row r="95">
      <x:c r="A95" s="29"/>
    </x:row>
    <x:row r="96">
      <x:c r="A96" s="29"/>
    </x:row>
    <x:row r="97">
      <x:c r="A97" s="29"/>
    </x:row>
    <x:row r="98">
      <x:c r="A98" s="29"/>
    </x:row>
    <x:row r="99">
      <x:c r="A99" s="29"/>
    </x:row>
    <x:row r="100">
      <x:c r="A100" s="2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5" hidden="0" customWidth="1"/>
    <x:col min="2" max="2" width="23" hidden="0" customWidth="1"/>
    <x:col min="3" max="3" width="15" hidden="0" customWidth="1"/>
    <x:col min="4" max="4" width="22" hidden="0" customWidth="1"/>
    <x:col min="5" max="5" width="15" hidden="0" customWidth="1"/>
    <x:col min="6" max="6" width="15" hidden="0" customWidth="1"/>
    <x:col min="7" max="7" width="15" hidden="0" customWidth="1"/>
    <x:col min="8" max="8" width="15" hidden="0" customWidth="1"/>
    <x:col min="9" max="9" width="58" hidden="0" customWidth="1"/>
  </x:cols>
  <x:sheetData>
    <x:row r="1" ht="24" customHeight="1">
      <x:c r="A1" s="23"/>
      <x:c r="B1" s="2"/>
      <x:c r="C1" s="2"/>
      <x:c r="D1" s="2"/>
      <x:c r="E1" s="2"/>
      <x:c r="F1" s="2"/>
      <x:c r="G1" s="2"/>
      <x:c r="H1" s="2"/>
      <x:c r="I1" s="2"/>
    </x:row>
    <x:row r="2" ht="30" customHeight="1">
      <x:c r="A2" s="24" t="str">
        <x:v>상위 30개 후보 비교</x:v>
      </x:c>
      <x:c r="B2" s="2"/>
      <x:c r="C2" s="2"/>
      <x:c r="D2" s="2"/>
      <x:c r="E2" s="2"/>
      <x:c r="F2" s="2"/>
      <x:c r="G2" s="2"/>
      <x:c r="H2" s="2"/>
      <x:c r="I2" s="2"/>
    </x:row>
    <x:row r="3" ht="24" customHeight="1">
      <x:c r="A3" s="23"/>
      <x:c r="B3" s="2"/>
      <x:c r="C3" s="2"/>
      <x:c r="D3" s="2"/>
      <x:c r="E3" s="2"/>
      <x:c r="F3" s="2"/>
      <x:c r="G3" s="2"/>
      <x:c r="H3" s="2"/>
      <x:c r="I3" s="2"/>
    </x:row>
    <x:row r="4" ht="24" customHeight="1">
      <x:c r="A4" s="23" t="str">
        <x:v>연구점수는 기대수익률이 아니다. 긍정 관점 과반, 필수 데이터, 변동성·상관, 비중 제약을 적용했다.</x:v>
      </x:c>
      <x:c r="B4" s="2"/>
      <x:c r="C4" s="2"/>
      <x:c r="D4" s="2"/>
      <x:c r="E4" s="2"/>
      <x:c r="F4" s="2"/>
      <x:c r="G4" s="2"/>
      <x:c r="H4" s="2"/>
      <x:c r="I4" s="2"/>
    </x:row>
    <x:row r="5" ht="24" customHeight="1">
      <x:c r="A5" s="23"/>
      <x:c r="B5" s="2"/>
      <x:c r="C5" s="2"/>
      <x:c r="D5" s="2"/>
      <x:c r="E5" s="2"/>
      <x:c r="F5" s="2"/>
      <x:c r="G5" s="2"/>
      <x:c r="H5" s="2"/>
      <x:c r="I5" s="2"/>
    </x:row>
    <x:row r="6" ht="30" customHeight="1">
      <x:c r="A6" s="26" t="str">
        <x:v>종목코드</x:v>
      </x:c>
      <x:c r="B6" s="8" t="str">
        <x:v>종목명</x:v>
      </x:c>
      <x:c r="C6" s="8" t="str">
        <x:v>연구점수</x:v>
      </x:c>
      <x:c r="D6" s="8" t="str">
        <x:v>섹터</x:v>
      </x:c>
      <x:c r="E6" s="8" t="str">
        <x:v>버핏</x:v>
      </x:c>
      <x:c r="F6" s="8" t="str">
        <x:v>린치</x:v>
      </x:c>
      <x:c r="G6" s="8" t="str">
        <x:v>피셔</x:v>
      </x:c>
      <x:c r="H6" s="8" t="str">
        <x:v>편입 비중</x:v>
      </x:c>
      <x:c r="I6" s="8" t="str">
        <x:v>제외 사유</x:v>
      </x:c>
    </x:row>
    <x:row r="7" ht="34" customHeight="1">
      <x:c r="A7" s="23" t="str">
        <x:v>462870</x:v>
      </x:c>
      <x:c r="B7" s="2" t="str">
        <x:v>시프트업</x:v>
      </x:c>
      <x:c r="C7" s="15" t="n">
        <x:v>6.86</x:v>
      </x:c>
      <x:c r="D7" s="2" t="str">
        <x:v>Communication</x:v>
      </x:c>
      <x:c r="E7" s="2" t="str">
        <x:v>유보</x:v>
      </x:c>
      <x:c r="F7" s="2" t="str">
        <x:v>유보</x:v>
      </x:c>
      <x:c r="G7" s="2" t="str">
        <x:v>부정</x:v>
      </x:c>
      <x:c r="H7" s="5" t="n">
        <x:v>0</x:v>
      </x:c>
      <x:c r="I7" s="11" t="str">
        <x:v>투자자 과반 미달 (0/3 bullish)</x:v>
      </x:c>
    </x:row>
    <x:row r="8" ht="34" customHeight="1">
      <x:c r="A8" s="27" t="str">
        <x:v>257720</x:v>
      </x:c>
      <x:c r="B8" s="12" t="str">
        <x:v>실리콘투</x:v>
      </x:c>
      <x:c r="C8" s="16" t="n">
        <x:v>6.71</x:v>
      </x:c>
      <x:c r="D8" s="12" t="str">
        <x:v>Consumer Staples</x:v>
      </x:c>
      <x:c r="E8" s="12" t="str">
        <x:v>유보</x:v>
      </x:c>
      <x:c r="F8" s="12" t="str">
        <x:v>유보</x:v>
      </x:c>
      <x:c r="G8" s="12" t="str">
        <x:v>유보</x:v>
      </x:c>
      <x:c r="H8" s="13" t="n">
        <x:v>0</x:v>
      </x:c>
      <x:c r="I8" s="14" t="str">
        <x:v>투자자 과반 미달 (0/3 bullish)</x:v>
      </x:c>
    </x:row>
    <x:row r="9" ht="34" customHeight="1">
      <x:c r="A9" s="23" t="str">
        <x:v>003230</x:v>
      </x:c>
      <x:c r="B9" s="2" t="str">
        <x:v>삼양식품</x:v>
      </x:c>
      <x:c r="C9" s="15" t="n">
        <x:v>6.54</x:v>
      </x:c>
      <x:c r="D9" s="2" t="str">
        <x:v>Consumer Staples</x:v>
      </x:c>
      <x:c r="E9" s="2" t="str">
        <x:v>유보</x:v>
      </x:c>
      <x:c r="F9" s="2" t="str">
        <x:v>긍정</x:v>
      </x:c>
      <x:c r="G9" s="2" t="str">
        <x:v>긍정</x:v>
      </x:c>
      <x:c r="H9" s="5" t="n">
        <x:v>0.15</x:v>
      </x:c>
      <x:c r="I9" s="11" t="str"/>
    </x:row>
    <x:row r="10" ht="34" customHeight="1">
      <x:c r="A10" s="27" t="str">
        <x:v>036830</x:v>
      </x:c>
      <x:c r="B10" s="12" t="str">
        <x:v>솔브레인홀딩스</x:v>
      </x:c>
      <x:c r="C10" s="16" t="n">
        <x:v>6.38</x:v>
      </x:c>
      <x:c r="D10" s="12" t="str">
        <x:v>Materials</x:v>
      </x:c>
      <x:c r="E10" s="12" t="str">
        <x:v>유보</x:v>
      </x:c>
      <x:c r="F10" s="12" t="str">
        <x:v>유보</x:v>
      </x:c>
      <x:c r="G10" s="12" t="str">
        <x:v>부정</x:v>
      </x:c>
      <x:c r="H10" s="13" t="n">
        <x:v>0</x:v>
      </x:c>
      <x:c r="I10" s="14" t="str">
        <x:v>투자자 과반 미달 (0/3 bullish)</x:v>
      </x:c>
    </x:row>
    <x:row r="11" ht="34" customHeight="1">
      <x:c r="A11" s="23" t="str">
        <x:v>062040</x:v>
      </x:c>
      <x:c r="B11" s="2" t="str">
        <x:v>산일전기</x:v>
      </x:c>
      <x:c r="C11" s="15" t="n">
        <x:v>6.24</x:v>
      </x:c>
      <x:c r="D11" s="2" t="str">
        <x:v>Industrials</x:v>
      </x:c>
      <x:c r="E11" s="2" t="str">
        <x:v>유보</x:v>
      </x:c>
      <x:c r="F11" s="2" t="str">
        <x:v>긍정</x:v>
      </x:c>
      <x:c r="G11" s="2" t="str">
        <x:v>긍정</x:v>
      </x:c>
      <x:c r="H11" s="5" t="n">
        <x:v>0.15</x:v>
      </x:c>
      <x:c r="I11" s="11" t="str"/>
    </x:row>
    <x:row r="12" ht="34" customHeight="1">
      <x:c r="A12" s="27" t="str">
        <x:v>000660</x:v>
      </x:c>
      <x:c r="B12" s="12" t="str">
        <x:v>SK하이닉스</x:v>
      </x:c>
      <x:c r="C12" s="16" t="n">
        <x:v>6.18</x:v>
      </x:c>
      <x:c r="D12" s="12" t="str">
        <x:v>Technology</x:v>
      </x:c>
      <x:c r="E12" s="12" t="str">
        <x:v>유보</x:v>
      </x:c>
      <x:c r="F12" s="12" t="str">
        <x:v>유보</x:v>
      </x:c>
      <x:c r="G12" s="12" t="str">
        <x:v>긍정</x:v>
      </x:c>
      <x:c r="H12" s="13" t="n">
        <x:v>0</x:v>
      </x:c>
      <x:c r="I12" s="14" t="str">
        <x:v>투자자 과반 미달 (1/3 bullish)</x:v>
      </x:c>
    </x:row>
    <x:row r="13" ht="34" customHeight="1">
      <x:c r="A13" s="23" t="str">
        <x:v>214450</x:v>
      </x:c>
      <x:c r="B13" s="2" t="str">
        <x:v>파마리서치</x:v>
      </x:c>
      <x:c r="C13" s="15" t="n">
        <x:v>6.04</x:v>
      </x:c>
      <x:c r="D13" s="2" t="str">
        <x:v>Healthcare</x:v>
      </x:c>
      <x:c r="E13" s="2" t="str">
        <x:v>긍정</x:v>
      </x:c>
      <x:c r="F13" s="2" t="str">
        <x:v>긍정</x:v>
      </x:c>
      <x:c r="G13" s="2" t="str">
        <x:v>긍정</x:v>
      </x:c>
      <x:c r="H13" s="5" t="n">
        <x:v>0.15</x:v>
      </x:c>
      <x:c r="I13" s="11" t="str"/>
    </x:row>
    <x:row r="14" ht="34" customHeight="1">
      <x:c r="A14" s="27" t="str">
        <x:v>425420</x:v>
      </x:c>
      <x:c r="B14" s="12" t="str">
        <x:v>티에프이</x:v>
      </x:c>
      <x:c r="C14" s="16" t="n">
        <x:v>5.82</x:v>
      </x:c>
      <x:c r="D14" s="12" t="str">
        <x:v>Technology</x:v>
      </x:c>
      <x:c r="E14" s="12" t="str">
        <x:v>부정</x:v>
      </x:c>
      <x:c r="F14" s="12" t="str">
        <x:v>유보</x:v>
      </x:c>
      <x:c r="G14" s="12" t="str">
        <x:v>유보</x:v>
      </x:c>
      <x:c r="H14" s="13" t="n">
        <x:v>0</x:v>
      </x:c>
      <x:c r="I14" s="14" t="str">
        <x:v>투자자 과반 미달 (0/3 bullish)</x:v>
      </x:c>
    </x:row>
    <x:row r="15" ht="34" customHeight="1">
      <x:c r="A15" s="23" t="str">
        <x:v>008930</x:v>
      </x:c>
      <x:c r="B15" s="2" t="str">
        <x:v>한미사이언스</x:v>
      </x:c>
      <x:c r="C15" s="15" t="n">
        <x:v>5.8</x:v>
      </x:c>
      <x:c r="D15" s="2" t="str">
        <x:v>Healthcare</x:v>
      </x:c>
      <x:c r="E15" s="2" t="str">
        <x:v>유보</x:v>
      </x:c>
      <x:c r="F15" s="2" t="str">
        <x:v>유보</x:v>
      </x:c>
      <x:c r="G15" s="2" t="str">
        <x:v>유보</x:v>
      </x:c>
      <x:c r="H15" s="5" t="n">
        <x:v>0</x:v>
      </x:c>
      <x:c r="I15" s="11" t="str">
        <x:v>투자자 과반 미달 (0/3 bullish)</x:v>
      </x:c>
    </x:row>
    <x:row r="16" ht="34" customHeight="1">
      <x:c r="A16" s="27" t="str">
        <x:v>128940</x:v>
      </x:c>
      <x:c r="B16" s="12" t="str">
        <x:v>한미약품</x:v>
      </x:c>
      <x:c r="C16" s="16" t="n">
        <x:v>5.65</x:v>
      </x:c>
      <x:c r="D16" s="12" t="str">
        <x:v>Healthcare</x:v>
      </x:c>
      <x:c r="E16" s="12" t="str">
        <x:v>유보</x:v>
      </x:c>
      <x:c r="F16" s="12" t="str">
        <x:v>유보</x:v>
      </x:c>
      <x:c r="G16" s="12" t="str">
        <x:v>유보</x:v>
      </x:c>
      <x:c r="H16" s="13" t="n">
        <x:v>0</x:v>
      </x:c>
      <x:c r="I16" s="14" t="str">
        <x:v>투자자 과반 미달 (0/3 bullish)</x:v>
      </x:c>
    </x:row>
    <x:row r="17" ht="34" customHeight="1">
      <x:c r="A17" s="23" t="str">
        <x:v>007660</x:v>
      </x:c>
      <x:c r="B17" s="2" t="str">
        <x:v>이수페타시스</x:v>
      </x:c>
      <x:c r="C17" s="15" t="n">
        <x:v>5.64</x:v>
      </x:c>
      <x:c r="D17" s="2" t="str">
        <x:v>Technology</x:v>
      </x:c>
      <x:c r="E17" s="2" t="str">
        <x:v>부정</x:v>
      </x:c>
      <x:c r="F17" s="2" t="str">
        <x:v>유보</x:v>
      </x:c>
      <x:c r="G17" s="2" t="str">
        <x:v>유보</x:v>
      </x:c>
      <x:c r="H17" s="5" t="n">
        <x:v>0</x:v>
      </x:c>
      <x:c r="I17" s="11" t="str">
        <x:v>투자자 과반 미달 (0/3 bullish)</x:v>
      </x:c>
    </x:row>
    <x:row r="18" ht="34" customHeight="1">
      <x:c r="A18" s="27" t="str">
        <x:v>327260</x:v>
      </x:c>
      <x:c r="B18" s="12" t="str">
        <x:v>RF머트리얼즈</x:v>
      </x:c>
      <x:c r="C18" s="16" t="n">
        <x:v>5.62</x:v>
      </x:c>
      <x:c r="D18" s="12" t="str">
        <x:v>Technology</x:v>
      </x:c>
      <x:c r="E18" s="12" t="str">
        <x:v>부정</x:v>
      </x:c>
      <x:c r="F18" s="12" t="str">
        <x:v>부정</x:v>
      </x:c>
      <x:c r="G18" s="12" t="str">
        <x:v>부정</x:v>
      </x:c>
      <x:c r="H18" s="13" t="n">
        <x:v>0</x:v>
      </x:c>
      <x:c r="I18" s="14" t="str">
        <x:v>투자자 과반 미달 (0/3 bullish)</x:v>
      </x:c>
    </x:row>
    <x:row r="19" ht="34" customHeight="1">
      <x:c r="A19" s="23" t="str">
        <x:v>039200</x:v>
      </x:c>
      <x:c r="B19" s="2" t="str">
        <x:v>오스코텍</x:v>
      </x:c>
      <x:c r="C19" s="15" t="n">
        <x:v>5.46</x:v>
      </x:c>
      <x:c r="D19" s="2" t="str">
        <x:v>Unknown</x:v>
      </x:c>
      <x:c r="E19" s="2" t="str">
        <x:v>유보</x:v>
      </x:c>
      <x:c r="F19" s="2" t="str">
        <x:v>유보</x:v>
      </x:c>
      <x:c r="G19" s="2" t="str">
        <x:v>유보</x:v>
      </x:c>
      <x:c r="H19" s="5" t="n">
        <x:v>0</x:v>
      </x:c>
      <x:c r="I19" s="11" t="str">
        <x:v>투자자 과반 미달 (0/3 bullish)</x:v>
      </x:c>
    </x:row>
    <x:row r="20" ht="34" customHeight="1">
      <x:c r="A20" s="27" t="str">
        <x:v>214150</x:v>
      </x:c>
      <x:c r="B20" s="12" t="str">
        <x:v>클래시스</x:v>
      </x:c>
      <x:c r="C20" s="16" t="n">
        <x:v>5.44</x:v>
      </x:c>
      <x:c r="D20" s="12" t="str">
        <x:v>Healthcare</x:v>
      </x:c>
      <x:c r="E20" s="12" t="str">
        <x:v>유보</x:v>
      </x:c>
      <x:c r="F20" s="12" t="str">
        <x:v>유보</x:v>
      </x:c>
      <x:c r="G20" s="12" t="str">
        <x:v>유보</x:v>
      </x:c>
      <x:c r="H20" s="13" t="n">
        <x:v>0</x:v>
      </x:c>
      <x:c r="I20" s="14" t="str">
        <x:v>투자자 과반 미달 (0/3 bullish)</x:v>
      </x:c>
    </x:row>
    <x:row r="21" ht="34" customHeight="1">
      <x:c r="A21" s="23" t="str">
        <x:v>031980</x:v>
      </x:c>
      <x:c r="B21" s="2" t="str">
        <x:v>피에스케이홀딩스</x:v>
      </x:c>
      <x:c r="C21" s="15" t="n">
        <x:v>5.37</x:v>
      </x:c>
      <x:c r="D21" s="2" t="str">
        <x:v>Unknown</x:v>
      </x:c>
      <x:c r="E21" s="2" t="str">
        <x:v>유보</x:v>
      </x:c>
      <x:c r="F21" s="2" t="str">
        <x:v>유보</x:v>
      </x:c>
      <x:c r="G21" s="2" t="str">
        <x:v>유보</x:v>
      </x:c>
      <x:c r="H21" s="5" t="n">
        <x:v>0</x:v>
      </x:c>
      <x:c r="I21" s="11" t="str">
        <x:v>투자자 과반 미달 (0/3 bullish)</x:v>
      </x:c>
    </x:row>
    <x:row r="22" ht="34" customHeight="1">
      <x:c r="A22" s="27" t="str">
        <x:v>483650</x:v>
      </x:c>
      <x:c r="B22" s="12" t="str">
        <x:v>달바글로벌</x:v>
      </x:c>
      <x:c r="C22" s="16" t="n">
        <x:v>5.36</x:v>
      </x:c>
      <x:c r="D22" s="12" t="str">
        <x:v>Consumer Staples</x:v>
      </x:c>
      <x:c r="E22" s="12" t="str">
        <x:v>긍정</x:v>
      </x:c>
      <x:c r="F22" s="12" t="str">
        <x:v>긍정</x:v>
      </x:c>
      <x:c r="G22" s="12" t="str">
        <x:v>긍정</x:v>
      </x:c>
      <x:c r="H22" s="13" t="n">
        <x:v>0.15</x:v>
      </x:c>
      <x:c r="I22" s="14" t="str"/>
    </x:row>
    <x:row r="23" ht="34" customHeight="1">
      <x:c r="A23" s="23" t="str">
        <x:v>001450</x:v>
      </x:c>
      <x:c r="B23" s="2" t="str">
        <x:v>현대해상</x:v>
      </x:c>
      <x:c r="C23" s="15" t="n">
        <x:v>5.31</x:v>
      </x:c>
      <x:c r="D23" s="2" t="str">
        <x:v>Financial</x:v>
      </x:c>
      <x:c r="E23" s="2" t="str">
        <x:v>유보</x:v>
      </x:c>
      <x:c r="F23" s="2" t="str">
        <x:v>유보</x:v>
      </x:c>
      <x:c r="G23" s="2" t="str">
        <x:v>유보</x:v>
      </x:c>
      <x:c r="H23" s="5" t="n">
        <x:v>0</x:v>
      </x:c>
      <x:c r="I23" s="11" t="str">
        <x:v>투자자 분석 데이터 부족 (buffett, lynch)</x:v>
      </x:c>
    </x:row>
    <x:row r="24" ht="34" customHeight="1">
      <x:c r="A24" s="27" t="str">
        <x:v>000500</x:v>
      </x:c>
      <x:c r="B24" s="12" t="str">
        <x:v>가온전선</x:v>
      </x:c>
      <x:c r="C24" s="16" t="n">
        <x:v>5.3</x:v>
      </x:c>
      <x:c r="D24" s="12" t="str">
        <x:v>Technology</x:v>
      </x:c>
      <x:c r="E24" s="12" t="str">
        <x:v>부정</x:v>
      </x:c>
      <x:c r="F24" s="12" t="str">
        <x:v>부정</x:v>
      </x:c>
      <x:c r="G24" s="12" t="str">
        <x:v>부정</x:v>
      </x:c>
      <x:c r="H24" s="13" t="n">
        <x:v>0</x:v>
      </x:c>
      <x:c r="I24" s="14" t="str">
        <x:v>투자자 과반 미달 (0/3 bullish)</x:v>
      </x:c>
    </x:row>
    <x:row r="25" ht="34" customHeight="1">
      <x:c r="A25" s="23" t="str">
        <x:v>124500</x:v>
      </x:c>
      <x:c r="B25" s="2" t="str">
        <x:v>아이티센글로벌</x:v>
      </x:c>
      <x:c r="C25" s="15" t="n">
        <x:v>5.28</x:v>
      </x:c>
      <x:c r="D25" s="2" t="str">
        <x:v>Technology</x:v>
      </x:c>
      <x:c r="E25" s="2" t="str">
        <x:v>유보</x:v>
      </x:c>
      <x:c r="F25" s="2" t="str">
        <x:v>유보</x:v>
      </x:c>
      <x:c r="G25" s="2" t="str">
        <x:v>유보</x:v>
      </x:c>
      <x:c r="H25" s="5" t="n">
        <x:v>0</x:v>
      </x:c>
      <x:c r="I25" s="11" t="str">
        <x:v>투자자 과반 미달 (0/3 bullish)</x:v>
      </x:c>
    </x:row>
    <x:row r="26" ht="34" customHeight="1">
      <x:c r="A26" s="27" t="str">
        <x:v>083650</x:v>
      </x:c>
      <x:c r="B26" s="12" t="str">
        <x:v>비에이치아이</x:v>
      </x:c>
      <x:c r="C26" s="16" t="n">
        <x:v>5.19</x:v>
      </x:c>
      <x:c r="D26" s="12" t="str">
        <x:v>Unknown</x:v>
      </x:c>
      <x:c r="E26" s="12" t="str">
        <x:v>부정</x:v>
      </x:c>
      <x:c r="F26" s="12" t="str">
        <x:v>부정</x:v>
      </x:c>
      <x:c r="G26" s="12" t="str">
        <x:v>긍정</x:v>
      </x:c>
      <x:c r="H26" s="13" t="n">
        <x:v>0</x:v>
      </x:c>
      <x:c r="I26" s="14" t="str">
        <x:v>투자자 과반 미달 (1/3 bullish)</x:v>
      </x:c>
    </x:row>
    <x:row r="27" ht="34" customHeight="1">
      <x:c r="A27" s="23" t="str">
        <x:v>078930</x:v>
      </x:c>
      <x:c r="B27" s="2" t="str">
        <x:v>GS</x:v>
      </x:c>
      <x:c r="C27" s="15" t="n">
        <x:v>5.18</x:v>
      </x:c>
      <x:c r="D27" s="2" t="str">
        <x:v>Industrials</x:v>
      </x:c>
      <x:c r="E27" s="2" t="str">
        <x:v>유보</x:v>
      </x:c>
      <x:c r="F27" s="2" t="str">
        <x:v>유보</x:v>
      </x:c>
      <x:c r="G27" s="2" t="str">
        <x:v>유보</x:v>
      </x:c>
      <x:c r="H27" s="5" t="n">
        <x:v>0</x:v>
      </x:c>
      <x:c r="I27" s="11" t="str">
        <x:v>투자자 과반 미달 (0/3 bullish)</x:v>
      </x:c>
    </x:row>
    <x:row r="28" ht="34" customHeight="1">
      <x:c r="A28" s="27" t="str">
        <x:v>035900</x:v>
      </x:c>
      <x:c r="B28" s="12" t="str">
        <x:v>JYP Ent.</x:v>
      </x:c>
      <x:c r="C28" s="16" t="n">
        <x:v>5.1</x:v>
      </x:c>
      <x:c r="D28" s="12" t="str">
        <x:v>Communication</x:v>
      </x:c>
      <x:c r="E28" s="12" t="str">
        <x:v>유보</x:v>
      </x:c>
      <x:c r="F28" s="12" t="str">
        <x:v>유보</x:v>
      </x:c>
      <x:c r="G28" s="12" t="str">
        <x:v>유보</x:v>
      </x:c>
      <x:c r="H28" s="13" t="n">
        <x:v>0</x:v>
      </x:c>
      <x:c r="I28" s="14" t="str">
        <x:v>투자자 과반 미달 (0/3 bullish)</x:v>
      </x:c>
    </x:row>
    <x:row r="29" ht="34" customHeight="1">
      <x:c r="A29" s="23" t="str">
        <x:v>041510</x:v>
      </x:c>
      <x:c r="B29" s="2" t="str">
        <x:v>에스엠</x:v>
      </x:c>
      <x:c r="C29" s="15" t="n">
        <x:v>5.09</x:v>
      </x:c>
      <x:c r="D29" s="2" t="str">
        <x:v>Communication</x:v>
      </x:c>
      <x:c r="E29" s="2" t="str">
        <x:v>유보</x:v>
      </x:c>
      <x:c r="F29" s="2" t="str">
        <x:v>유보</x:v>
      </x:c>
      <x:c r="G29" s="2" t="str">
        <x:v>유보</x:v>
      </x:c>
      <x:c r="H29" s="5" t="n">
        <x:v>0</x:v>
      </x:c>
      <x:c r="I29" s="11" t="str">
        <x:v>투자자 과반 미달 (0/3 bullish)</x:v>
      </x:c>
    </x:row>
    <x:row r="30" ht="34" customHeight="1">
      <x:c r="A30" s="27" t="str">
        <x:v>005830</x:v>
      </x:c>
      <x:c r="B30" s="12" t="str">
        <x:v>DB손해보험</x:v>
      </x:c>
      <x:c r="C30" s="16" t="n">
        <x:v>5.06</x:v>
      </x:c>
      <x:c r="D30" s="12" t="str">
        <x:v>Financial</x:v>
      </x:c>
      <x:c r="E30" s="12" t="str">
        <x:v>유보</x:v>
      </x:c>
      <x:c r="F30" s="12" t="str">
        <x:v>유보</x:v>
      </x:c>
      <x:c r="G30" s="12" t="str">
        <x:v>유보</x:v>
      </x:c>
      <x:c r="H30" s="13" t="n">
        <x:v>0</x:v>
      </x:c>
      <x:c r="I30" s="14" t="str">
        <x:v>투자자 분석 데이터 부족 (buffett, lynch)</x:v>
      </x:c>
    </x:row>
    <x:row r="31" ht="34" customHeight="1">
      <x:c r="A31" s="23" t="str">
        <x:v>095340</x:v>
      </x:c>
      <x:c r="B31" s="2" t="str">
        <x:v>ISC</x:v>
      </x:c>
      <x:c r="C31" s="15" t="n">
        <x:v>5.06</x:v>
      </x:c>
      <x:c r="D31" s="2" t="str">
        <x:v>Unknown</x:v>
      </x:c>
      <x:c r="E31" s="2" t="str">
        <x:v>부정</x:v>
      </x:c>
      <x:c r="F31" s="2" t="str">
        <x:v>유보</x:v>
      </x:c>
      <x:c r="G31" s="2" t="str">
        <x:v>유보</x:v>
      </x:c>
      <x:c r="H31" s="5" t="n">
        <x:v>0</x:v>
      </x:c>
      <x:c r="I31" s="11" t="str">
        <x:v>투자자 과반 미달 (0/3 bullish)</x:v>
      </x:c>
    </x:row>
    <x:row r="32" ht="34" customHeight="1">
      <x:c r="A32" s="27" t="str">
        <x:v>101490</x:v>
      </x:c>
      <x:c r="B32" s="12" t="str">
        <x:v>에스앤에스텍</x:v>
      </x:c>
      <x:c r="C32" s="16" t="n">
        <x:v>5.06</x:v>
      </x:c>
      <x:c r="D32" s="12" t="str">
        <x:v>Unknown</x:v>
      </x:c>
      <x:c r="E32" s="12" t="str">
        <x:v>유보</x:v>
      </x:c>
      <x:c r="F32" s="12" t="str">
        <x:v>유보</x:v>
      </x:c>
      <x:c r="G32" s="12" t="str">
        <x:v>유보</x:v>
      </x:c>
      <x:c r="H32" s="13" t="n">
        <x:v>0</x:v>
      </x:c>
      <x:c r="I32" s="14" t="str">
        <x:v>투자자 과반 미달 (0/3 bullish)</x:v>
      </x:c>
    </x:row>
    <x:row r="33" ht="34" customHeight="1">
      <x:c r="A33" s="23" t="str">
        <x:v>402340</x:v>
      </x:c>
      <x:c r="B33" s="2" t="str">
        <x:v>SK스퀘어</x:v>
      </x:c>
      <x:c r="C33" s="15" t="n">
        <x:v>5.02</x:v>
      </x:c>
      <x:c r="D33" s="2" t="str">
        <x:v>Technology</x:v>
      </x:c>
      <x:c r="E33" s="2" t="str">
        <x:v>유보</x:v>
      </x:c>
      <x:c r="F33" s="2" t="str">
        <x:v>유보</x:v>
      </x:c>
      <x:c r="G33" s="2" t="str">
        <x:v>유보</x:v>
      </x:c>
      <x:c r="H33" s="5" t="n">
        <x:v>0</x:v>
      </x:c>
      <x:c r="I33" s="11" t="str">
        <x:v>투자자 분석 데이터 부족 (lynch)</x:v>
      </x:c>
    </x:row>
    <x:row r="34" ht="34" customHeight="1">
      <x:c r="A34" s="27" t="str">
        <x:v>053610</x:v>
      </x:c>
      <x:c r="B34" s="12" t="str">
        <x:v>프로텍</x:v>
      </x:c>
      <x:c r="C34" s="16" t="n">
        <x:v>5.02</x:v>
      </x:c>
      <x:c r="D34" s="12" t="str">
        <x:v>Technology</x:v>
      </x:c>
      <x:c r="E34" s="12" t="str">
        <x:v>유보</x:v>
      </x:c>
      <x:c r="F34" s="12" t="str">
        <x:v>유보</x:v>
      </x:c>
      <x:c r="G34" s="12" t="str">
        <x:v>유보</x:v>
      </x:c>
      <x:c r="H34" s="13" t="n">
        <x:v>0</x:v>
      </x:c>
      <x:c r="I34" s="14" t="str">
        <x:v>투자자 과반 미달 (0/3 bullish)</x:v>
      </x:c>
    </x:row>
    <x:row r="35" ht="34" customHeight="1">
      <x:c r="A35" s="23" t="str">
        <x:v>096770</x:v>
      </x:c>
      <x:c r="B35" s="2" t="str">
        <x:v>SK이노베이션</x:v>
      </x:c>
      <x:c r="C35" s="15" t="n">
        <x:v>4.95</x:v>
      </x:c>
      <x:c r="D35" s="2" t="str">
        <x:v>Energy</x:v>
      </x:c>
      <x:c r="E35" s="2" t="str">
        <x:v>부정</x:v>
      </x:c>
      <x:c r="F35" s="2" t="str">
        <x:v>유보</x:v>
      </x:c>
      <x:c r="G35" s="2" t="str">
        <x:v>유보</x:v>
      </x:c>
      <x:c r="H35" s="5" t="n">
        <x:v>0</x:v>
      </x:c>
      <x:c r="I35" s="11" t="str">
        <x:v>투자자 과반 미달 (0/3 bullish)</x:v>
      </x:c>
    </x:row>
    <x:row r="36" ht="34" customHeight="1">
      <x:c r="A36" s="27" t="str">
        <x:v>326030</x:v>
      </x:c>
      <x:c r="B36" s="12" t="str">
        <x:v>SK바이오팜</x:v>
      </x:c>
      <x:c r="C36" s="16" t="n">
        <x:v>4.91</x:v>
      </x:c>
      <x:c r="D36" s="12" t="str">
        <x:v>Healthcare</x:v>
      </x:c>
      <x:c r="E36" s="12" t="str">
        <x:v>유보</x:v>
      </x:c>
      <x:c r="F36" s="12" t="str">
        <x:v>긍정</x:v>
      </x:c>
      <x:c r="G36" s="12" t="str">
        <x:v>긍정</x:v>
      </x:c>
      <x:c r="H36" s="13" t="n">
        <x:v>0.15</x:v>
      </x:c>
      <x:c r="I36" s="14" t="str"/>
    </x:row>
    <x:row r="37" ht="24" customHeight="1">
      <x:c r="A37" s="23"/>
      <x:c r="B37" s="2"/>
      <x:c r="C37" s="2"/>
      <x:c r="D37" s="2"/>
      <x:c r="E37" s="2"/>
      <x:c r="F37" s="2"/>
      <x:c r="G37" s="2"/>
      <x:c r="H37" s="2"/>
      <x:c r="I37" s="2"/>
    </x:row>
    <x:row r="38" ht="24" customHeight="1">
      <x:c r="A38" s="23"/>
      <x:c r="B38" s="2"/>
      <x:c r="C38" s="2"/>
      <x:c r="D38" s="2"/>
      <x:c r="E38" s="2"/>
      <x:c r="F38" s="2"/>
      <x:c r="G38" s="2"/>
      <x:c r="H38" s="2"/>
      <x:c r="I38" s="2"/>
    </x:row>
    <x:row r="39">
      <x:c r="A39" s="29"/>
    </x:row>
    <x:row r="40">
      <x:c r="A40" s="29"/>
    </x:row>
    <x:row r="41">
      <x:c r="A41" s="29"/>
    </x:row>
    <x:row r="42">
      <x:c r="A42" s="29"/>
    </x:row>
    <x:row r="43">
      <x:c r="A43" s="29"/>
    </x:row>
    <x:row r="44">
      <x:c r="A44" s="29"/>
    </x:row>
    <x:row r="45">
      <x:c r="A45" s="29"/>
    </x:row>
    <x:row r="46">
      <x:c r="A46" s="29"/>
    </x:row>
    <x:row r="47">
      <x:c r="A47" s="29"/>
    </x:row>
    <x:row r="48">
      <x:c r="A48" s="29"/>
    </x:row>
    <x:row r="49">
      <x:c r="A49" s="29"/>
    </x:row>
    <x:row r="50">
      <x:c r="A50" s="29"/>
    </x:row>
    <x:row r="51">
      <x:c r="A51" s="29"/>
    </x:row>
    <x:row r="52">
      <x:c r="A52" s="29"/>
    </x:row>
    <x:row r="53">
      <x:c r="A53" s="29"/>
    </x:row>
    <x:row r="54">
      <x:c r="A54" s="29"/>
    </x:row>
    <x:row r="55">
      <x:c r="A55" s="29"/>
    </x:row>
    <x:row r="56">
      <x:c r="A56" s="29"/>
    </x:row>
    <x:row r="57">
      <x:c r="A57" s="29"/>
    </x:row>
    <x:row r="58">
      <x:c r="A58" s="29"/>
    </x:row>
    <x:row r="59">
      <x:c r="A59" s="29"/>
    </x:row>
    <x:row r="60">
      <x:c r="A60" s="29"/>
    </x:row>
    <x:row r="61">
      <x:c r="A61" s="29"/>
    </x:row>
    <x:row r="62">
      <x:c r="A62" s="29"/>
    </x:row>
    <x:row r="63">
      <x:c r="A63" s="29"/>
    </x:row>
    <x:row r="64">
      <x:c r="A64" s="29"/>
    </x:row>
    <x:row r="65">
      <x:c r="A65" s="29"/>
    </x:row>
    <x:row r="66">
      <x:c r="A66" s="29"/>
    </x:row>
    <x:row r="67">
      <x:c r="A67" s="29"/>
    </x:row>
    <x:row r="68">
      <x:c r="A68" s="29"/>
    </x:row>
    <x:row r="69">
      <x:c r="A69" s="29"/>
    </x:row>
    <x:row r="70">
      <x:c r="A70" s="29"/>
    </x:row>
    <x:row r="71">
      <x:c r="A71" s="29"/>
    </x:row>
    <x:row r="72">
      <x:c r="A72" s="29"/>
    </x:row>
    <x:row r="73">
      <x:c r="A73" s="29"/>
    </x:row>
    <x:row r="74">
      <x:c r="A74" s="29"/>
    </x:row>
    <x:row r="75">
      <x:c r="A75" s="29"/>
    </x:row>
    <x:row r="76">
      <x:c r="A76" s="29"/>
    </x:row>
    <x:row r="77">
      <x:c r="A77" s="29"/>
    </x:row>
    <x:row r="78">
      <x:c r="A78" s="29"/>
    </x:row>
    <x:row r="79">
      <x:c r="A79" s="29"/>
    </x:row>
    <x:row r="80">
      <x:c r="A80" s="29"/>
    </x:row>
    <x:row r="81">
      <x:c r="A81" s="29"/>
    </x:row>
    <x:row r="82">
      <x:c r="A82" s="29"/>
    </x:row>
    <x:row r="83">
      <x:c r="A83" s="29"/>
    </x:row>
    <x:row r="84">
      <x:c r="A84" s="29"/>
    </x:row>
    <x:row r="85">
      <x:c r="A85" s="29"/>
    </x:row>
    <x:row r="86">
      <x:c r="A86" s="29"/>
    </x:row>
    <x:row r="87">
      <x:c r="A87" s="29"/>
    </x:row>
    <x:row r="88">
      <x:c r="A88" s="29"/>
    </x:row>
    <x:row r="89">
      <x:c r="A89" s="29"/>
    </x:row>
    <x:row r="90">
      <x:c r="A90" s="29"/>
    </x:row>
    <x:row r="91">
      <x:c r="A91" s="29"/>
    </x:row>
    <x:row r="92">
      <x:c r="A92" s="29"/>
    </x:row>
    <x:row r="93">
      <x:c r="A93" s="29"/>
    </x:row>
    <x:row r="94">
      <x:c r="A94" s="29"/>
    </x:row>
    <x:row r="95">
      <x:c r="A95" s="29"/>
    </x:row>
    <x:row r="96">
      <x:c r="A96" s="29"/>
    </x:row>
    <x:row r="97">
      <x:c r="A97" s="29"/>
    </x:row>
    <x:row r="98">
      <x:c r="A98" s="29"/>
    </x:row>
    <x:row r="99">
      <x:c r="A99" s="29"/>
    </x:row>
    <x:row r="100">
      <x:c r="A100" s="29"/>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5" hidden="0" customWidth="1"/>
    <x:col min="2" max="2" width="23" hidden="0" customWidth="1"/>
    <x:col min="3" max="3" width="15" hidden="0" customWidth="1"/>
    <x:col min="4" max="4" width="15" hidden="0" customWidth="1"/>
    <x:col min="5" max="5" width="15" hidden="0" customWidth="1"/>
    <x:col min="6" max="6" width="15" hidden="0" customWidth="1"/>
    <x:col min="7" max="7" width="100" hidden="0" customWidth="1"/>
    <x:col min="8" max="8" width="66" hidden="0" customWidth="1"/>
  </x:cols>
  <x:sheetData>
    <x:row r="1" ht="24" customHeight="1">
      <x:c r="A1" s="23"/>
      <x:c r="B1" s="2"/>
      <x:c r="C1" s="2"/>
      <x:c r="D1" s="2"/>
      <x:c r="E1" s="2"/>
      <x:c r="F1" s="2"/>
      <x:c r="G1" s="2"/>
      <x:c r="H1" s="2"/>
    </x:row>
    <x:row r="2" ht="30" customHeight="1">
      <x:c r="A2" s="24" t="str">
        <x:v>독립 투자자 분석 근거</x:v>
      </x:c>
      <x:c r="B2" s="2"/>
      <x:c r="C2" s="2"/>
      <x:c r="D2" s="2"/>
      <x:c r="E2" s="2"/>
      <x:c r="F2" s="2"/>
      <x:c r="G2" s="2"/>
      <x:c r="H2" s="2"/>
    </x:row>
    <x:row r="3" ht="24" customHeight="1">
      <x:c r="A3" s="23"/>
      <x:c r="B3" s="2"/>
      <x:c r="C3" s="2"/>
      <x:c r="D3" s="2"/>
      <x:c r="E3" s="2"/>
      <x:c r="F3" s="2"/>
      <x:c r="G3" s="2"/>
      <x:c r="H3" s="2"/>
    </x:row>
    <x:row r="4" ht="24" customHeight="1">
      <x:c r="A4" s="23" t="str">
        <x:v>같은 원자료를 각 관점에서 독립 평가했다. confidence는 모델 판단 강도이며 확률로 보정하지 않았다.</x:v>
      </x:c>
      <x:c r="B4" s="2"/>
      <x:c r="C4" s="2"/>
      <x:c r="D4" s="2"/>
      <x:c r="E4" s="2"/>
      <x:c r="F4" s="2"/>
      <x:c r="G4" s="2"/>
      <x:c r="H4" s="2"/>
    </x:row>
    <x:row r="5" ht="24" customHeight="1">
      <x:c r="A5" s="23"/>
      <x:c r="B5" s="2"/>
      <x:c r="C5" s="2"/>
      <x:c r="D5" s="2"/>
      <x:c r="E5" s="2"/>
      <x:c r="F5" s="2"/>
      <x:c r="G5" s="2"/>
      <x:c r="H5" s="2"/>
    </x:row>
    <x:row r="6" ht="30" customHeight="1">
      <x:c r="A6" s="26" t="str">
        <x:v>종목코드</x:v>
      </x:c>
      <x:c r="B6" s="8" t="str">
        <x:v>종목명</x:v>
      </x:c>
      <x:c r="C6" s="8" t="str">
        <x:v>관점</x:v>
      </x:c>
      <x:c r="D6" s="8" t="str">
        <x:v>판단</x:v>
      </x:c>
      <x:c r="E6" s="8" t="str">
        <x:v>confidence</x:v>
      </x:c>
      <x:c r="F6" s="8" t="str">
        <x:v>자료 상태</x:v>
      </x:c>
      <x:c r="G6" s="8" t="str">
        <x:v>독립 판단 근거</x:v>
      </x:c>
      <x:c r="H6" s="8" t="str">
        <x:v>원문 출처</x:v>
      </x:c>
    </x:row>
    <x:row r="7" ht="92" customHeight="1">
      <x:c r="A7" s="23" t="str">
        <x:v>462870</x:v>
      </x:c>
      <x:c r="B7" s="2" t="str">
        <x:v>시프트업</x:v>
      </x:c>
      <x:c r="C7" s="2" t="str">
        <x:v>버핏</x:v>
      </x:c>
      <x:c r="D7" s="2" t="str">
        <x:v>유보</x:v>
      </x:c>
      <x:c r="E7" s="17" t="n">
        <x:v>0.62</x:v>
      </x:c>
      <x:c r="F7" s="2" t="str">
        <x:v>partial</x:v>
      </x:c>
      <x:c r="G7" s="11" t="str">
        <x:v>DART 2023~2025 유형·무형 취득 차감현금은 996억→1,080억→1,546억원이고 2025 영업이익률은 61.6%다. 반기 부채총계/자본 13.0%와 네이버 현재 PER 10.08배·PBR 1.83배도 유리한 지표다. 다만 2026H1 매출은 33.4%, 영업이익은 47.5% 줄었고 차감현금도 407억원으로 전년 동기 779억원에서 감소했다. 콘텐츠별 수명·신작 지출·반복 과금 유지와 해자 자료가 없어 높은 과거 마진을 영구 수익력으로 인정하지 않고 판단을 유보한다.</x:v>
      </x:c>
      <x:c r="H7" s="11" t="str">
        <x:v>https://dart.fss.or.kr/dsaf001/main.do?rcpNo=20260318001672
https://dart.fss.or.kr/dsaf001/main.do?rcpNo=20260814004160</x:v>
      </x:c>
    </x:row>
    <x:row r="8" ht="92" customHeight="1">
      <x:c r="A8" s="27" t="str">
        <x:v>462870</x:v>
      </x:c>
      <x:c r="B8" s="12" t="str">
        <x:v>시프트업</x:v>
      </x:c>
      <x:c r="C8" s="12" t="str">
        <x:v>린치</x:v>
      </x:c>
      <x:c r="D8" s="12" t="str">
        <x:v>유보</x:v>
      </x:c>
      <x:c r="E8" s="18" t="n">
        <x:v>0.61</x:v>
      </x:c>
      <x:c r="F8" s="12" t="str">
        <x:v>partial</x:v>
      </x:c>
      <x:c r="G8" s="14" t="str">
        <x:v>DART상 2025 매출 31.4% 성장과 달리 2026H1 매출은 33.4%, 영업이익은 47.5% 줄어 고성장의 반복성이 끊겼다. 순익 1.8% 증가는 금융수익이 170억에서 514억원으로 늘어난 점과 구분한다. H1 영업현금 460억원·취득 차감 후 407억원, 부채총계/자본 0.13배는 버틸 근거지만 향후 매출 회복은 미검증이다. 9/9 네이버 PER 10.08배는 낮아도 본업의 반복 성장 확인 전 판단을 유보하고, 실적 기간이 다른 PEG는 계산하지 않는다.</x:v>
      </x:c>
      <x:c r="H8" s="14" t="str">
        <x:v>https://dart.fss.or.kr/dsaf001/main.do?rcpNo=20260318001672
https://dart.fss.or.kr/dsaf001/main.do?rcpNo=20260814004160</x:v>
      </x:c>
    </x:row>
    <x:row r="9" ht="92" customHeight="1">
      <x:c r="A9" s="23" t="str">
        <x:v>462870</x:v>
      </x:c>
      <x:c r="B9" s="2" t="str">
        <x:v>시프트업</x:v>
      </x:c>
      <x:c r="C9" s="2" t="str">
        <x:v>피셔</x:v>
      </x:c>
      <x:c r="D9" s="2" t="str">
        <x:v>부정</x:v>
      </x:c>
      <x:c r="E9" s="17" t="n">
        <x:v>0.66</x:v>
      </x:c>
      <x:c r="F9" s="2" t="str">
        <x:v>partial</x:v>
      </x:c>
      <x:c r="G9" s="11" t="str">
        <x:v>DART상 2023~25년 매출 CAGR은 32.2%였지만 영업마진은 65.88%에서 61.59%로 낮아졌다. 2026H1 매출은 33.4%, 영업이익은 47.5% 감소했고 마진도 전년 동기 61.10%에서 48.16%로 내려 지속 성장 가정이 약해졌다. 유·무형 취득 후 현금 407억원은 양수지만 전년 동기 779억원보다 작다. 네이버 현재 PER 10.08배의 낮은 가격만으로 회복을 확정하지 않는다. R&amp;D 효과·제품별 반복 매출·경영진 실사는 미확인이고 기간 차이로 PEG를 미산출한다.</x:v>
      </x:c>
      <x:c r="H9" s="11" t="str">
        <x:v>https://dart.fss.or.kr/dsaf001/main.do?rcpNo=20260318001672
https://dart.fss.or.kr/dsaf001/main.do?rcpNo=20260814004160</x:v>
      </x:c>
    </x:row>
    <x:row r="10" ht="92" customHeight="1">
      <x:c r="A10" s="27" t="str">
        <x:v>257720</x:v>
      </x:c>
      <x:c r="B10" s="12" t="str">
        <x:v>실리콘투</x:v>
      </x:c>
      <x:c r="C10" s="12" t="str">
        <x:v>버핏</x:v>
      </x:c>
      <x:c r="D10" s="12" t="str">
        <x:v>유보</x:v>
      </x:c>
      <x:c r="E10" s="18" t="n">
        <x:v>0.57</x:v>
      </x:c>
      <x:c r="F10" s="12" t="str">
        <x:v>partial</x:v>
      </x:c>
      <x:c r="G10" s="14" t="str">
        <x:v>DART 2025 영업이익률 18.4%와 2026H1 영업이익 증가 47.6%는 높지만 2025 순이익 1,686억원 대비 영업현금은 11억원에 불과하다. 유형·무형 취득 차감현금은 2023~2025 모두 음수이고 2026H1에도 -230억원이다. 반기 부채총계/자본 40.0%와 네이버 현재 PER 13.24배는 완충 요인이지만 PBR 4.24배와 낮은 현금 전환을 함께 봐야 한다. 운전자본 회수·거래관계의 지속성·유지투자 근거가 없어 고성장을 소유주이익이나 해자로 확정하지 않는다.</x:v>
      </x:c>
      <x:c r="H10" s="14" t="str">
        <x:v>https://dart.fss.or.kr/dsaf001/main.do?rcpNo=20260320001024
https://dart.fss.or.kr/dsaf001/main.do?rcpNo=20260814003895</x:v>
      </x:c>
    </x:row>
    <x:row r="11" ht="92" customHeight="1">
      <x:c r="A11" s="23" t="str">
        <x:v>257720</x:v>
      </x:c>
      <x:c r="B11" s="2" t="str">
        <x:v>실리콘투</x:v>
      </x:c>
      <x:c r="C11" s="2" t="str">
        <x:v>린치</x:v>
      </x:c>
      <x:c r="D11" s="2" t="str">
        <x:v>유보</x:v>
      </x:c>
      <x:c r="E11" s="17" t="n">
        <x:v>0.62</x:v>
      </x:c>
      <x:c r="F11" s="2" t="str">
        <x:v>partial</x:v>
      </x:c>
      <x:c r="G11" s="11" t="str">
        <x:v>DART의 2025 매출 61.4%, 2026H1 매출 46.6%·영업이익 47.6% 증가로 고성장은 이어진다. 그러나 2025 순익 1,686억원에 영업현금은 11억원, H1 순익 1,267억원에도 영업현금은 135억원뿐이다. 2023~2025와 최근 반기 모두 유형·무형 취득 차감 현금흐름이 음수라 회계이익의 반복성과 현금전환을 구분한다. H1 부채총계/자본 0.40배가 이를 해소하진 않는다. 9/9 네이버 PER 13.24배의 매력은 유보하며 기간이 다른 PEG는 미확정이다.</x:v>
      </x:c>
      <x:c r="H11" s="11" t="str">
        <x:v>https://dart.fss.or.kr/dsaf001/main.do?rcpNo=20260320001024
https://dart.fss.or.kr/dsaf001/main.do?rcpNo=20260814003895</x:v>
      </x:c>
    </x:row>
    <x:row r="12" ht="92" customHeight="1">
      <x:c r="A12" s="27" t="str">
        <x:v>257720</x:v>
      </x:c>
      <x:c r="B12" s="12" t="str">
        <x:v>실리콘투</x:v>
      </x:c>
      <x:c r="C12" s="12" t="str">
        <x:v>피셔</x:v>
      </x:c>
      <x:c r="D12" s="12" t="str">
        <x:v>유보</x:v>
      </x:c>
      <x:c r="E12" s="18" t="n">
        <x:v>0.62</x:v>
      </x:c>
      <x:c r="F12" s="12" t="str">
        <x:v>partial</x:v>
      </x:c>
      <x:c r="G12" s="14" t="str">
        <x:v>DART상 2023~25년 매출 CAGR 80.4%, 2026H1 매출 증가율 46.6%와 마진 19.69%는 성장성을 보여준다. 그러나 2025년 순이익 1,686억원에 CFO는 11억원, 2026H1 순이익 1,267억원에 CFO는 135억원에 그친다. 반기 유·무형 취득 후 현금도 -230억원으로 외형 성장의 현금전환이 취약하다. 네이버 현재 PER 13.24배가 낮아도 회수 구조 확인이 우선이다. R&amp;D·반복 고객·경영진 실사는 미확인이며 기간 차이로 PEG를 확정하지 않는다.</x:v>
      </x:c>
      <x:c r="H12" s="14" t="str">
        <x:v>https://dart.fss.or.kr/dsaf001/main.do?rcpNo=20260320001024
https://dart.fss.or.kr/dsaf001/main.do?rcpNo=20260814003895</x:v>
      </x:c>
    </x:row>
    <x:row r="13" ht="92" customHeight="1">
      <x:c r="A13" s="23" t="str">
        <x:v>003230</x:v>
      </x:c>
      <x:c r="B13" s="2" t="str">
        <x:v>삼양식품</x:v>
      </x:c>
      <x:c r="C13" s="2" t="str">
        <x:v>버핏</x:v>
      </x:c>
      <x:c r="D13" s="2" t="str">
        <x:v>유보</x:v>
      </x:c>
      <x:c r="E13" s="17" t="n">
        <x:v>0.61</x:v>
      </x:c>
      <x:c r="F13" s="2" t="str">
        <x:v>partial</x:v>
      </x:c>
      <x:c r="G13" s="11" t="str">
        <x:v>DART 2023~2025 영업이익이 1,475억→3,446억→5,242억원으로 늘고 2025 영업이익률은 22.3%다. 다만 2025 영업현금 3,093억원보다 유형·무형 취득액이 커 차감액은 -1,521억원이며, 2026H1에는 1,628억원으로 회복했다. 반기 부채총계/자본 77.5%와 네이버 현재 PER 19.54배를 함께 보면 수익 성장만으로 매력적인 가격이라 단정하기 어렵다. 유지·확장 투자 구분과 브랜드 해자의 지속성 자료가 없어 소유주이익과 안전마진 판단을 유보한다.</x:v>
      </x:c>
      <x:c r="H13" s="11" t="str">
        <x:v>https://dart.fss.or.kr/dsaf001/main.do?rcpNo=20260318001082
https://dart.fss.or.kr/dsaf001/main.do?rcpNo=20260814003053</x:v>
      </x:c>
    </x:row>
    <x:row r="14" ht="92" customHeight="1">
      <x:c r="A14" s="27" t="str">
        <x:v>003230</x:v>
      </x:c>
      <x:c r="B14" s="12" t="str">
        <x:v>삼양식품</x:v>
      </x:c>
      <x:c r="C14" s="12" t="str">
        <x:v>린치</x:v>
      </x:c>
      <x:c r="D14" s="12" t="str">
        <x:v>긍정</x:v>
      </x:c>
      <x:c r="E14" s="18" t="n">
        <x:v>0.74</x:v>
      </x:c>
      <x:c r="F14" s="12" t="str">
        <x:v>partial</x:v>
      </x:c>
      <x:c r="G14" s="14" t="str">
        <x:v>DART 매출은 2023년 1.19조원에서 2025년 2.35조원으로 늘고 2026H1에도 37.2%, 영업이익은 39.1% 증가해 반복 성장 후보로 본다. H1 영업현금 2,683억원은 순익 2,820억원에 근접하고 유형·무형자산 취득 차감 후에도 1,628억원이 남는다. 다만 2025 해당 현금흐름은 -1,521억원으로 투자 부담이 있었고 H1 부채총계/자본은 0.78배다. 9/9 네이버 PER 19.54배와 성장의 조합은 우호적이나 기간이 달라 PEG는 확정하지 않는다.</x:v>
      </x:c>
      <x:c r="H14" s="14" t="str">
        <x:v>https://dart.fss.or.kr/dsaf001/main.do?rcpNo=20260318001082
https://dart.fss.or.kr/dsaf001/main.do?rcpNo=20260814003053</x:v>
      </x:c>
    </x:row>
    <x:row r="15" ht="92" customHeight="1">
      <x:c r="A15" s="23" t="str">
        <x:v>003230</x:v>
      </x:c>
      <x:c r="B15" s="2" t="str">
        <x:v>삼양식품</x:v>
      </x:c>
      <x:c r="C15" s="2" t="str">
        <x:v>피셔</x:v>
      </x:c>
      <x:c r="D15" s="2" t="str">
        <x:v>긍정</x:v>
      </x:c>
      <x:c r="E15" s="17" t="n">
        <x:v>0.72</x:v>
      </x:c>
      <x:c r="F15" s="2" t="str">
        <x:v>partial</x:v>
      </x:c>
      <x:c r="G15" s="11" t="str">
        <x:v>DART상 2023~25년 매출 CAGR 40.4%와 영업마진 12.37%에서 22.29%로의 확대가 성장 품질을 지지한다. 2025년 유형자산 취득 4,490억원으로 유·무형 취득 후 현금은 -1,521억원이었지만, 2026H1 매출 37.2% 증가와 마진 23.80%에 동반해 해당 현금이 1,628억원으로 회복됐다. 재투자를 감당하는 현금창출은 긍정적이다. 네이버 현재 PER 19.54배와 DART 기간이 달라 PEG는 미산출하며, R&amp;D·고객 재구매·경영진 실사는 미확인이다.</x:v>
      </x:c>
      <x:c r="H15" s="11" t="str">
        <x:v>https://dart.fss.or.kr/dsaf001/main.do?rcpNo=20260318001082
https://dart.fss.or.kr/dsaf001/main.do?rcpNo=20260814003053</x:v>
      </x:c>
    </x:row>
    <x:row r="16" ht="92" customHeight="1">
      <x:c r="A16" s="27" t="str">
        <x:v>036830</x:v>
      </x:c>
      <x:c r="B16" s="12" t="str">
        <x:v>솔브레인홀딩스</x:v>
      </x:c>
      <x:c r="C16" s="12" t="str">
        <x:v>버핏</x:v>
      </x:c>
      <x:c r="D16" s="12" t="str">
        <x:v>유보</x:v>
      </x:c>
      <x:c r="E16" s="18" t="n">
        <x:v>0.62</x:v>
      </x:c>
      <x:c r="F16" s="12" t="str">
        <x:v>partial</x:v>
      </x:c>
      <x:c r="G16" s="14" t="str">
        <x:v>DART 원계정상 2025 순이익 4,956억원 중 중단영업이익이 4,452억원이고 계속영업이익은 503억원이다. 따라서 네이버 현재 PER 1.56배를 지속 가능한 이익의 싼 가격으로 읽지 않는다. 2026H1 영업현금은 -1,275억원, 유형·무형 취득 차감액은 -1,871억원이다. 반기 부채총계/자본 35.3%와 PBR 0.47배는 완충 요인이지만 지분가치·현금 회수와 자본배분 근거가 부족하다. 낮은 배수와 현금 약화를 함께 보고 해자·소유주이익·안전마진 판단을 유보한다.</x:v>
      </x:c>
      <x:c r="H16" s="14" t="str">
        <x:v>https://dart.fss.or.kr/dsaf001/main.do?rcpNo=20260318001251
https://dart.fss.or.kr/dsaf001/main.do?rcpNo=20260814003804</x:v>
      </x:c>
    </x:row>
    <x:row r="17" ht="92" customHeight="1">
      <x:c r="A17" s="23" t="str">
        <x:v>036830</x:v>
      </x:c>
      <x:c r="B17" s="2" t="str">
        <x:v>솔브레인홀딩스</x:v>
      </x:c>
      <x:c r="C17" s="2" t="str">
        <x:v>린치</x:v>
      </x:c>
      <x:c r="D17" s="2" t="str">
        <x:v>유보</x:v>
      </x:c>
      <x:c r="E17" s="17" t="n">
        <x:v>0.55</x:v>
      </x:c>
      <x:c r="F17" s="2" t="str">
        <x:v>partial</x:v>
      </x:c>
      <x:c r="G17" s="11" t="str">
        <x:v>DART 원계정에서 2025 순익 4,956억원 중 중단영업이익이 4,453억원이므로 796% 순익 증가를 반복 성장으로 보지 않는다. 2026H1 영업이익은 334억원으로 회복했지만 금융수익도 1,017억원이며 영업현금은 -1,275억원이다. 부채총계/자본 0.35배와 낮은 배수는 자산형 후보의 단서이나 현금전환과 계속영업 이익의 정상화가 필요하다. 9/9 네이버 PER 1.56배는 성장 저평가의 충분한 근거가 아니고, 실적 기간이 달라 PEG는 계산하지 않는다.</x:v>
      </x:c>
      <x:c r="H17" s="11" t="str">
        <x:v>https://dart.fss.or.kr/dsaf001/main.do?rcpNo=20260318001251
https://dart.fss.or.kr/dsaf001/main.do?rcpNo=20260814003804</x:v>
      </x:c>
    </x:row>
    <x:row r="18" ht="92" customHeight="1">
      <x:c r="A18" s="27" t="str">
        <x:v>036830</x:v>
      </x:c>
      <x:c r="B18" s="12" t="str">
        <x:v>솔브레인홀딩스</x:v>
      </x:c>
      <x:c r="C18" s="12" t="str">
        <x:v>피셔</x:v>
      </x:c>
      <x:c r="D18" s="12" t="str">
        <x:v>부정</x:v>
      </x:c>
      <x:c r="E18" s="18" t="n">
        <x:v>0.66</x:v>
      </x:c>
      <x:c r="F18" s="12" t="str">
        <x:v>partial</x:v>
      </x:c>
      <x:c r="G18" s="14" t="str">
        <x:v>DART상 2023~25년 매출 및 지분법손익 CAGR은 -2.4%이며 영업마진도 11.90%에서 1.59%로 악화됐다. 2025년 순이익 4,956억원에는 중단영업이익 4,452억원이 포함돼 반복 성장으로 볼 수 없다. 2026H1 매출 및 지분법손익은 39.8% 증가했지만 CFO -1,275억원과 유형자산 취득 595억원이 현금 부담을 보여준다. 네이버 현재 PER 1.56배만으로 저평가를 확정하지 않는다. R&amp;D·재투자 효율·경영진 실사는 미확인이며 기간 차이로 PEG도 유보한다.</x:v>
      </x:c>
      <x:c r="H18" s="14" t="str">
        <x:v>https://dart.fss.or.kr/dsaf001/main.do?rcpNo=20260318001251
https://dart.fss.or.kr/dsaf001/main.do?rcpNo=20260814003804</x:v>
      </x:c>
    </x:row>
    <x:row r="19" ht="92" customHeight="1">
      <x:c r="A19" s="23" t="str">
        <x:v>062040</x:v>
      </x:c>
      <x:c r="B19" s="2" t="str">
        <x:v>산일전기</x:v>
      </x:c>
      <x:c r="C19" s="2" t="str">
        <x:v>버핏</x:v>
      </x:c>
      <x:c r="D19" s="2" t="str">
        <x:v>유보</x:v>
      </x:c>
      <x:c r="E19" s="17" t="n">
        <x:v>0.6</x:v>
      </x:c>
      <x:c r="F19" s="2" t="str">
        <x:v>partial</x:v>
      </x:c>
      <x:c r="G19" s="11" t="str">
        <x:v>DART 2025 영업이익률 35.6%와 2026H1 영업이익 증가 40.4%, 반기 부채총계/자본 14.2%는 수익성과 재무여력을 지지한다. 유형·무형 취득 차감현금은 2025년 990억원, 반기 805억원으로 개선됐지만 2024년에는 -743억원이었다. 네이버 현재 PER 35.62배·PBR 9.70배는 높은 성장의 지속을 요구하는 가격이다. 3개년 실적만으로 수주 이익의 반복성·장기 가격결정력·유지투자를 확정할 수 없어 좋은 최근 실적과 별개로 안전마진 판단을 유보한다.</x:v>
      </x:c>
      <x:c r="H19" s="11" t="str">
        <x:v>https://dart.fss.or.kr/dsaf001/main.do?rcpNo=20260403003697
https://dart.fss.or.kr/dsaf001/main.do?rcpNo=20260814003544</x:v>
      </x:c>
    </x:row>
    <x:row r="20" ht="92" customHeight="1">
      <x:c r="A20" s="27" t="str">
        <x:v>062040</x:v>
      </x:c>
      <x:c r="B20" s="12" t="str">
        <x:v>산일전기</x:v>
      </x:c>
      <x:c r="C20" s="12" t="str">
        <x:v>린치</x:v>
      </x:c>
      <x:c r="D20" s="12" t="str">
        <x:v>긍정</x:v>
      </x:c>
      <x:c r="E20" s="18" t="n">
        <x:v>0.68</x:v>
      </x:c>
      <x:c r="F20" s="12" t="str">
        <x:v>partial</x:v>
      </x:c>
      <x:c r="G20" s="14" t="str">
        <x:v>DART 매출은 2023년 2,145억원에서 2025년 5,020억원으로 늘고 2026H1에도 매출 38.5%·영업이익 40.4% 증가해 고성장 후보로 본다. H1 영업현금 901억원은 순익의 90%이고 유형·무형 취득 후 805억원이 남으며 부채총계/자본도 0.14배다. 다만 2024 현금전환은 약했고 수주나 고객별 반복성은 자료에 없어 현재 성장 속도를 장기 확정하지 않는다. 9/9 네이버 PER 35.62배의 가격 부담을 반영했으며 실적 기간이 다른 PEG는 미확정이다.</x:v>
      </x:c>
      <x:c r="H20" s="14" t="str">
        <x:v>https://dart.fss.or.kr/dsaf001/main.do?rcpNo=20260403003697
https://dart.fss.or.kr/dsaf001/main.do?rcpNo=20260814003544</x:v>
      </x:c>
    </x:row>
    <x:row r="21" ht="92" customHeight="1">
      <x:c r="A21" s="23" t="str">
        <x:v>062040</x:v>
      </x:c>
      <x:c r="B21" s="2" t="str">
        <x:v>산일전기</x:v>
      </x:c>
      <x:c r="C21" s="2" t="str">
        <x:v>피셔</x:v>
      </x:c>
      <x:c r="D21" s="2" t="str">
        <x:v>긍정</x:v>
      </x:c>
      <x:c r="E21" s="17" t="n">
        <x:v>0.66</x:v>
      </x:c>
      <x:c r="F21" s="2" t="str">
        <x:v>partial</x:v>
      </x:c>
      <x:c r="G21" s="11" t="str">
        <x:v>DART상 2023~25년 매출 CAGR은 53.0%이며 영업마진은 21.72%에서 35.59%로 높아졌다. 2026H1에도 매출 38.5% 증가, 마진 37.37%로 성장과 수익성이 유지됐고 CFO 901억원에서 유·무형 취득을 차감한 현금 805억원은 재투자를 감당한다. 다만 네이버 현재 PER 35.62배와 PBR 9.70배는 지속 성장에 대한 기대가 높다. R&amp;D 효율·수주 지속성·고객 및 경영진 실사는 미확인이며 DART와 평가기간이 달라 PEG는 미산출한다.</x:v>
      </x:c>
      <x:c r="H21" s="11" t="str">
        <x:v>https://dart.fss.or.kr/dsaf001/main.do?rcpNo=20260403003697
https://dart.fss.or.kr/dsaf001/main.do?rcpNo=20260814003544</x:v>
      </x:c>
    </x:row>
    <x:row r="22" ht="92" customHeight="1">
      <x:c r="A22" s="27" t="str">
        <x:v>000660</x:v>
      </x:c>
      <x:c r="B22" s="12" t="str">
        <x:v>SK하이닉스</x:v>
      </x:c>
      <x:c r="C22" s="12" t="str">
        <x:v>버핏</x:v>
      </x:c>
      <x:c r="D22" s="12" t="str">
        <x:v>유보</x:v>
      </x:c>
      <x:c r="E22" s="18" t="n">
        <x:v>0.58</x:v>
      </x:c>
      <x:c r="F22" s="12" t="str">
        <x:v>partial</x:v>
      </x:c>
      <x:c r="G22" s="14" t="str">
        <x:v>DART 2025 영업이익률 48.6%, 영업현금에서 유형·무형 취득액을 뺀 금액 24.79조원은 강하다. 다만 2023년 영업손실 7.73조원으로 수익 변동이 크며, 2026H1 순이익 134.27조원에는 금융수익 82.92조원이 함께 보고돼 정상 이익으로 외삽하기 어렵다. 반기 부채총계/자본은 32.8%다. 네이버 현재 PER 8.27배만으로 저평가를 확정할 수 없고, 유지투자·금융수익 반복성·해자가 미검증이라 판단을 유보한다.</x:v>
      </x:c>
      <x:c r="H22" s="14" t="str">
        <x:v>https://dart.fss.or.kr/dsaf001/main.do?rcpNo=20260317000635
https://dart.fss.or.kr/dsaf001/main.do?rcpNo=20260814003509</x:v>
      </x:c>
    </x:row>
    <x:row r="23" ht="92" customHeight="1">
      <x:c r="A23" s="23" t="str">
        <x:v>000660</x:v>
      </x:c>
      <x:c r="B23" s="2" t="str">
        <x:v>SK하이닉스</x:v>
      </x:c>
      <x:c r="C23" s="2" t="str">
        <x:v>린치</x:v>
      </x:c>
      <x:c r="D23" s="2" t="str">
        <x:v>유보</x:v>
      </x:c>
      <x:c r="E23" s="17" t="n">
        <x:v>0.59</x:v>
      </x:c>
      <x:c r="F23" s="2" t="str">
        <x:v>partial</x:v>
      </x:c>
      <x:c r="G23" s="11" t="str">
        <x:v>DART의 2023 영업손실 이후 급증한 실적은 경기순환형 회복으로 보수적으로 분류한다. 2026H1 매출 131.90조원·영업이익 98.15조원, 영업현금 91.74조원은 강하지만 금융수익도 82.92조원으로 순익 성장의 반복성을 따로 봐야 한다. 부채총계/자본은 0.33배이나 이는 차입금 비율은 아니다. 9/9 네이버 PER 8.27배만으로 정상 이익 대비 저평가를 단정하기 어렵고, 현재 배수와 과거 성장의 기간 차이로 PEG 판단은 유보한다.</x:v>
      </x:c>
      <x:c r="H23" s="11" t="str">
        <x:v>https://dart.fss.or.kr/dsaf001/main.do?rcpNo=20260317000635
https://dart.fss.or.kr/dsaf001/main.do?rcpNo=20260814003509</x:v>
      </x:c>
    </x:row>
    <x:row r="24" ht="92" customHeight="1">
      <x:c r="A24" s="27" t="str">
        <x:v>000660</x:v>
      </x:c>
      <x:c r="B24" s="12" t="str">
        <x:v>SK하이닉스</x:v>
      </x:c>
      <x:c r="C24" s="12" t="str">
        <x:v>피셔</x:v>
      </x:c>
      <x:c r="D24" s="12" t="str">
        <x:v>긍정</x:v>
      </x:c>
      <x:c r="E24" s="18" t="n">
        <x:v>0.64</x:v>
      </x:c>
      <x:c r="F24" s="12" t="str">
        <x:v>partial</x:v>
      </x:c>
      <x:c r="G24" s="14" t="str">
        <x:v>DART상 2025년 매출은 46.8% 증가하고 영업마진은 35.45%에서 48.59%로 확대됐다. 2026H1도 매출 230.8% 증가, 마진 74.42%로 성장성이 강하며 CFO 91.74조원에서 유·무형 취득을 차감해도 72.75조원이 남는다. 다만 2023년 영업적자와 대비되는 급증을 장기 정상수익으로 외삽하지 않는다. 네이버 현재 PER 8.27배와 DART 기간은 달라 PEG를 미산출하며, R&amp;D 효율·고객 집중도·경영진 실사도 미확인이다.</x:v>
      </x:c>
      <x:c r="H24" s="14" t="str">
        <x:v>https://dart.fss.or.kr/dsaf001/main.do?rcpNo=20260317000635
https://dart.fss.or.kr/dsaf001/main.do?rcpNo=20260814003509</x:v>
      </x:c>
    </x:row>
    <x:row r="25" ht="92" customHeight="1">
      <x:c r="A25" s="23" t="str">
        <x:v>214450</x:v>
      </x:c>
      <x:c r="B25" s="2" t="str">
        <x:v>파마리서치</x:v>
      </x:c>
      <x:c r="C25" s="2" t="str">
        <x:v>버핏</x:v>
      </x:c>
      <x:c r="D25" s="2" t="str">
        <x:v>긍정</x:v>
      </x:c>
      <x:c r="E25" s="17" t="n">
        <x:v>0.56</x:v>
      </x:c>
      <x:c r="F25" s="2" t="str">
        <x:v>partial</x:v>
      </x:c>
      <x:c r="G25" s="11" t="str">
        <x:v>DART 2023~2025 유형·무형 취득 차감현금이 517억→994억→1,474억원으로 증가했고 2025 영업이익률은 40.0%다. 2026H1 영업이익도 23.0% 증가하며 부채총계/자본은 40.3%여서 관찰된 수익성과 재무여력에 제한적으로 긍정적이다. 다만 반기 차감현금은 423억원으로 전년 동기 534억원보다 줄었다. 네이버 현재 PER 22.80배·PBR 5.62배는 낮지 않으며 제품별 반복성·유지투자·해자 실사와 소유주이익 DCF가 없어 안전마진을 확정하지 않는다.</x:v>
      </x:c>
      <x:c r="H25" s="11" t="str">
        <x:v>https://dart.fss.or.kr/dsaf001/main.do?rcpNo=20260319001417
https://dart.fss.or.kr/dsaf001/main.do?rcpNo=20260814002997</x:v>
      </x:c>
    </x:row>
    <x:row r="26" ht="92" customHeight="1">
      <x:c r="A26" s="27" t="str">
        <x:v>214450</x:v>
      </x:c>
      <x:c r="B26" s="12" t="str">
        <x:v>파마리서치</x:v>
      </x:c>
      <x:c r="C26" s="12" t="str">
        <x:v>린치</x:v>
      </x:c>
      <x:c r="D26" s="12" t="str">
        <x:v>긍정</x:v>
      </x:c>
      <x:c r="E26" s="18" t="n">
        <x:v>0.67</x:v>
      </x:c>
      <x:c r="F26" s="12" t="str">
        <x:v>partial</x:v>
      </x:c>
      <x:c r="G26" s="14" t="str">
        <x:v>DART 매출은 2023년 2,610억원에서 2025년 5,363억원으로 늘고 2026H1에도 매출 26.1%·영업이익 23.0% 증가해 고성장 후보의 반복 근거가 있다. H1 부채총계/자본 0.40배에 현금 2,203억원, 유형·무형 취득 차감 후 423억원을 확보했다. 다만 영업현금 643억원은 순익의 61%이며 전년 동기보다 줄어 성장 둔화와 현금전환을 추적해야 한다. 9/9 네이버 PER 22.80배는 조건부로 수용 가능하나 기간이 달라 PEG는 확정하지 않는다.</x:v>
      </x:c>
      <x:c r="H26" s="14" t="str">
        <x:v>https://dart.fss.or.kr/dsaf001/main.do?rcpNo=20260319001417
https://dart.fss.or.kr/dsaf001/main.do?rcpNo=20260814002997</x:v>
      </x:c>
    </x:row>
    <x:row r="27" ht="92" customHeight="1">
      <x:c r="A27" s="23" t="str">
        <x:v>214450</x:v>
      </x:c>
      <x:c r="B27" s="2" t="str">
        <x:v>파마리서치</x:v>
      </x:c>
      <x:c r="C27" s="2" t="str">
        <x:v>피셔</x:v>
      </x:c>
      <x:c r="D27" s="2" t="str">
        <x:v>긍정</x:v>
      </x:c>
      <x:c r="E27" s="17" t="n">
        <x:v>0.66</x:v>
      </x:c>
      <x:c r="F27" s="2" t="str">
        <x:v>partial</x:v>
      </x:c>
      <x:c r="G27" s="11" t="str">
        <x:v>DART상 2023~25년 매출 CAGR 43.3%와 영업마진 35.35%에서 39.98%로의 확대는 성장 품질을 지지한다. 2026H1도 매출 26.1% 증가와 마진 38.10%를 유지하고 유·무형 취득 후 현금 423억원을 창출했다. 다만 반기 CFO 643억원은 순이익 1,050억원보다 적고 마진도 전년 동기 39.07%보다 낮아 추적이 필요하다. 네이버 현재 PER 22.80배와 DART 기간은 달라 PEG를 미산출하며 R&amp;D 효율·고객 및 경영진 실사는 미확인이다.</x:v>
      </x:c>
      <x:c r="H27" s="11" t="str">
        <x:v>https://dart.fss.or.kr/dsaf001/main.do?rcpNo=20260319001417
https://dart.fss.or.kr/dsaf001/main.do?rcpNo=20260814002997</x:v>
      </x:c>
    </x:row>
    <x:row r="28" ht="92" customHeight="1">
      <x:c r="A28" s="27" t="str">
        <x:v>425420</x:v>
      </x:c>
      <x:c r="B28" s="12" t="str">
        <x:v>티에프이</x:v>
      </x:c>
      <x:c r="C28" s="12" t="str">
        <x:v>버핏</x:v>
      </x:c>
      <x:c r="D28" s="12" t="str">
        <x:v>부정</x:v>
      </x:c>
      <x:c r="E28" s="18" t="n">
        <x:v>0.61</x:v>
      </x:c>
      <x:c r="F28" s="12" t="str">
        <x:v>partial</x:v>
      </x:c>
      <x:c r="G28" s="14" t="str">
        <x:v>DART 2025 영업이익률 17.1%, 2026H1 영업이익 증가 36.5%와 반기 부채총계/자본 31.8%는 개선을 보여준다. 그러나 유형·무형 취득 차감현금은 2024년 -138억원, 2025년 -26억원, 2026H1 -25억원으로 연속 유출이다. 네이버 현재 PER 29.78배·PBR 4.35배는 아직 확인되지 않은 투자 회수를 선반영할 부담이 있다. 유지·확장 투자 구분과 반복 고객·장기 수익성 자료가 없어 최근 이익 성장보다 주주에게 남는 현금의 부족을 크게 평가한다.</x:v>
      </x:c>
      <x:c r="H28" s="14" t="str">
        <x:v>https://dart.fss.or.kr/dsaf001/main.do?rcpNo=20260323000809
https://dart.fss.or.kr/dsaf001/main.do?rcpNo=20260814001298</x:v>
      </x:c>
    </x:row>
    <x:row r="29" ht="92" customHeight="1">
      <x:c r="A29" s="23" t="str">
        <x:v>425420</x:v>
      </x:c>
      <x:c r="B29" s="2" t="str">
        <x:v>티에프이</x:v>
      </x:c>
      <x:c r="C29" s="2" t="str">
        <x:v>린치</x:v>
      </x:c>
      <x:c r="D29" s="2" t="str">
        <x:v>유보</x:v>
      </x:c>
      <x:c r="E29" s="17" t="n">
        <x:v>0.6</x:v>
      </x:c>
      <x:c r="F29" s="2" t="str">
        <x:v>partial</x:v>
      </x:c>
      <x:c r="G29" s="11" t="str">
        <x:v>DART의 2024 매출·영업이익 하락 후 2025 매출 51.8%, 2026H1 매출 40.0%·영업이익 36.5% 증가해 회복을 동반한 성장 후보로 본다. H1 영업현금 82억원은 순익의 88%이나 유형·무형 취득 차감 후 -25억원으로 2024·2025에 이어 투자 후 현금 부족이 남았다. 부채총계/자본 0.32배는 비교적 완만하지만 투자의 향후 수익은 확인되지 않는다. 9/9 네이버 PER 29.78배에 지속 성장의 증거를 더 요구하며, 기간이 다른 PEG는 미확정이다.</x:v>
      </x:c>
      <x:c r="H29" s="11" t="str">
        <x:v>https://dart.fss.or.kr/dsaf001/main.do?rcpNo=20260323000809
https://dart.fss.or.kr/dsaf001/main.do?rcpNo=20260814001298</x:v>
      </x:c>
    </x:row>
    <x:row r="30" ht="92" customHeight="1">
      <x:c r="A30" s="27" t="str">
        <x:v>425420</x:v>
      </x:c>
      <x:c r="B30" s="12" t="str">
        <x:v>티에프이</x:v>
      </x:c>
      <x:c r="C30" s="12" t="str">
        <x:v>피셔</x:v>
      </x:c>
      <x:c r="D30" s="12" t="str">
        <x:v>유보</x:v>
      </x:c>
      <x:c r="E30" s="18" t="n">
        <x:v>0.59</x:v>
      </x:c>
      <x:c r="F30" s="12" t="str">
        <x:v>partial</x:v>
      </x:c>
      <x:c r="G30" s="14" t="str">
        <x:v>DART상 2025년 매출은 51.8% 증가했지만 2023~25년 CAGR은 17.9%로 연도별 변동이 크다. 2026H1 매출 40.0% 증가에도 영업마진은 전년 동기 14.65%에서 14.28%로 낮아졌고 CFO 82억원보다 유·무형 취득 107억원이 커 차감 현금은 -25억원이다. 2025년에도 같은 현금이 음수여서 투자 회수 확인이 필요하다. 네이버 현재 PER 29.78배는 성장 지속을 요구한다. R&amp;D·고객·경영진 실사는 미확인이고 기간 차이로 PEG를 미산출한다.</x:v>
      </x:c>
      <x:c r="H30" s="14" t="str">
        <x:v>https://dart.fss.or.kr/dsaf001/main.do?rcpNo=20260323000809
https://dart.fss.or.kr/dsaf001/main.do?rcpNo=20260814001298</x:v>
      </x:c>
    </x:row>
    <x:row r="31" ht="92" customHeight="1">
      <x:c r="A31" s="23" t="str">
        <x:v>008930</x:v>
      </x:c>
      <x:c r="B31" s="2" t="str">
        <x:v>한미사이언스</x:v>
      </x:c>
      <x:c r="C31" s="2" t="str">
        <x:v>버핏</x:v>
      </x:c>
      <x:c r="D31" s="2" t="str">
        <x:v>유보</x:v>
      </x:c>
      <x:c r="E31" s="17" t="n">
        <x:v>0.53</x:v>
      </x:c>
      <x:c r="F31" s="2" t="str">
        <x:v>partial</x:v>
      </x:c>
      <x:c r="G31" s="11" t="str">
        <x:v>DART 2025 영업이익률 10.2%, 순이익 1,177억원 대비 영업현금은 477억원으로 현금 전환이 약하다. 2026H1 영업이익은 50.3% 늘었지만 영업현금은 184억원에 그친다. 반기 부채총계/자본 44.4%는 부담을 낮추지만 네이버 현재 PER 25.37배·PBR 3.58배를 충분히 뒷받침하진 못한다. 원자료에 건물 취득 163억원 등 개별 투자는 있으나 유지투자와 지주회사에 귀속되는 반복 현금의 구분이 없어 소유주이익·해자·안전마진을 유보한다.</x:v>
      </x:c>
      <x:c r="H31" s="11" t="str">
        <x:v>https://dart.fss.or.kr/dsaf001/main.do?rcpNo=20260320001158
https://dart.fss.or.kr/dsaf001/main.do?rcpNo=20260814004187</x:v>
      </x:c>
    </x:row>
    <x:row r="32" ht="92" customHeight="1">
      <x:c r="A32" s="27" t="str">
        <x:v>008930</x:v>
      </x:c>
      <x:c r="B32" s="12" t="str">
        <x:v>한미사이언스</x:v>
      </x:c>
      <x:c r="C32" s="12" t="str">
        <x:v>린치</x:v>
      </x:c>
      <x:c r="D32" s="12" t="str">
        <x:v>유보</x:v>
      </x:c>
      <x:c r="E32" s="18" t="n">
        <x:v>0.57</x:v>
      </x:c>
      <x:c r="F32" s="12" t="str">
        <x:v>partial</x:v>
      </x:c>
      <x:c r="G32" s="14" t="str">
        <x:v>DART상 2025 매출 증가 5.7%, 2026H1 7.6%는 완만한 성장형이며 순익 급증을 그대로 고성장률로 쓰지 않는다. H1 영업이익은 50.3% 늘었지만 순익 860억원 중 영업현금은 184억원에 그쳤다. 부채총계/자본 0.44배는 전년 말보다 개선됐으나 현금전환의 반복성은 약하다. 취득 계정은 개별 자산으로 나뉘어 요약 FCF가 비어 있으며 이를 0으로 간주하지 않았다. 9/9 네이버 PER 25.37배에서 성장 대비 매력은 유보하고, 기간 불일치로 PEG는 계산하지 않는다.</x:v>
      </x:c>
      <x:c r="H32" s="14" t="str">
        <x:v>https://dart.fss.or.kr/dsaf001/main.do?rcpNo=20260320001158
https://dart.fss.or.kr/dsaf001/main.do?rcpNo=20260814004187</x:v>
      </x:c>
    </x:row>
    <x:row r="33" ht="92" customHeight="1">
      <x:c r="A33" s="23" t="str">
        <x:v>008930</x:v>
      </x:c>
      <x:c r="B33" s="2" t="str">
        <x:v>한미사이언스</x:v>
      </x:c>
      <x:c r="C33" s="2" t="str">
        <x:v>피셔</x:v>
      </x:c>
      <x:c r="D33" s="2" t="str">
        <x:v>유보</x:v>
      </x:c>
      <x:c r="E33" s="17" t="n">
        <x:v>0.57</x:v>
      </x:c>
      <x:c r="F33" s="2" t="str">
        <x:v>partial</x:v>
      </x:c>
      <x:c r="G33" s="11" t="str">
        <x:v>DART상 2023~25년 매출 CAGR은 4.3%로 낮지만 2026H1 매출 7.6% 증가와 영업마진 9.20%에서 12.85%로의 개선은 긍정적이다. 반기 순이익 860억원에 CFO는 184억원에 그쳐 현금전환이 약하고, 원문에는 건물·건설중자산 취득만 약 55억원이 확인돼 재투자 부담도 존재한다. 네이버 현재 PER 25.37배를 뒷받침할 지속 성장 근거는 아직 제한적이다. R&amp;D 효율과 경영진·고객 실사는 미확인이며 평가기간이 달라 PEG를 확정하지 않는다.</x:v>
      </x:c>
      <x:c r="H33" s="11" t="str">
        <x:v>https://dart.fss.or.kr/dsaf001/main.do?rcpNo=20260320001158
https://dart.fss.or.kr/dsaf001/main.do?rcpNo=20260814004187</x:v>
      </x:c>
    </x:row>
    <x:row r="34" ht="92" customHeight="1">
      <x:c r="A34" s="27" t="str">
        <x:v>128940</x:v>
      </x:c>
      <x:c r="B34" s="12" t="str">
        <x:v>한미약품</x:v>
      </x:c>
      <x:c r="C34" s="12" t="str">
        <x:v>버핏</x:v>
      </x:c>
      <x:c r="D34" s="12" t="str">
        <x:v>유보</x:v>
      </x:c>
      <x:c r="E34" s="18" t="n">
        <x:v>0.58</x:v>
      </x:c>
      <x:c r="F34" s="12" t="str">
        <x:v>partial</x:v>
      </x:c>
      <x:c r="G34" s="14" t="str">
        <x:v>DART 2023~2025 영업흑자와 영업현금 흑자가 이어졌고 2025 영업이익률은 16.7%다. 2026H1 영업이익은 54.6% 늘고 유형·무형 취득 차감현금은 1,695억원으로 전년 동기 837억원보다 증가했다. 반기 부채총계/자본 46.9%도 부담을 제한한다. 다만 네이버 현재 PER 29.19배·PBR 4.47배는 지속 성장을 요구하며, 제품별 반복 수익·권리 만료·유지 연구개발 및 경영진의 자본배분 자료가 없어 해자와 소유주이익의 안전마진은 유보한다.</x:v>
      </x:c>
      <x:c r="H34" s="14" t="str">
        <x:v>https://dart.fss.or.kr/dsaf001/main.do?rcpNo=20260320001130
https://dart.fss.or.kr/dsaf001/main.do?rcpNo=20260814004181</x:v>
      </x:c>
    </x:row>
    <x:row r="35" ht="92" customHeight="1">
      <x:c r="A35" s="23" t="str">
        <x:v>128940</x:v>
      </x:c>
      <x:c r="B35" s="2" t="str">
        <x:v>한미약품</x:v>
      </x:c>
      <x:c r="C35" s="2" t="str">
        <x:v>린치</x:v>
      </x:c>
      <x:c r="D35" s="2" t="str">
        <x:v>유보</x:v>
      </x:c>
      <x:c r="E35" s="17" t="n">
        <x:v>0.62</x:v>
      </x:c>
      <x:c r="F35" s="2" t="str">
        <x:v>partial</x:v>
      </x:c>
      <x:c r="G35" s="11" t="str">
        <x:v>DART상 2025 매출 증가율 3.5%에서 2026H1 14.4%로 개선되고 영업이익도 54.6% 늘어 완만한 성장의 가속 가능성이 보인다. H1 영업현금 2,164억원은 순익 1,352억원을 웃돌고 유형·무형 취득 후 1,695억원이 남으며 부채총계/자본은 0.47배다. 다만 2023~2025 매출 정체를 감안하면 최근 반기만으로 지속 고성장을 단정하지 않는다. 9/9 네이버 PER 29.19배는 반복 가속의 확인을 요구하고, 현재 배수와 DART 기간 차이로 PEG는 유보한다.</x:v>
      </x:c>
      <x:c r="H35" s="11" t="str">
        <x:v>https://dart.fss.or.kr/dsaf001/main.do?rcpNo=20260320001130
https://dart.fss.or.kr/dsaf001/main.do?rcpNo=20260814004181</x:v>
      </x:c>
    </x:row>
    <x:row r="36" ht="92" customHeight="1">
      <x:c r="A36" s="27" t="str">
        <x:v>128940</x:v>
      </x:c>
      <x:c r="B36" s="12" t="str">
        <x:v>한미약품</x:v>
      </x:c>
      <x:c r="C36" s="12" t="str">
        <x:v>피셔</x:v>
      </x:c>
      <x:c r="D36" s="12" t="str">
        <x:v>유보</x:v>
      </x:c>
      <x:c r="E36" s="18" t="n">
        <x:v>0.63</x:v>
      </x:c>
      <x:c r="F36" s="12" t="str">
        <x:v>partial</x:v>
      </x:c>
      <x:c r="G36" s="14" t="str">
        <x:v>DART 원문 경상개발비는 2025년 1,958억원, 2026H1 1,092억원으로 각각 매출의 12.65%, 12.70%여서 지속 투입이 확인된다. 반기 매출은 14.4% 늘고 마진은 15.88%에서 21.48%로 확대됐으며 유·무형 취득 후 현금 1,695억원도 긍정적이다. 다만 2023~25년 매출 CAGR은 1.9%로 낮아 개발 지출의 지속적 성장 전환은 아직 불확실하다. 네이버 현재 PER 29.19배는 부담이며 개발 성공·경영진 실사는 미확인이다. 기간 차이로 PEG를 미산출한다.</x:v>
      </x:c>
      <x:c r="H36" s="14" t="str">
        <x:v>https://dart.fss.or.kr/dsaf001/main.do?rcpNo=20260320001130
https://dart.fss.or.kr/dsaf001/main.do?rcpNo=20260814004181</x:v>
      </x:c>
    </x:row>
    <x:row r="37" ht="92" customHeight="1">
      <x:c r="A37" s="23" t="str">
        <x:v>007660</x:v>
      </x:c>
      <x:c r="B37" s="2" t="str">
        <x:v>이수페타시스</x:v>
      </x:c>
      <x:c r="C37" s="2" t="str">
        <x:v>버핏</x:v>
      </x:c>
      <x:c r="D37" s="2" t="str">
        <x:v>부정</x:v>
      </x:c>
      <x:c r="E37" s="17" t="n">
        <x:v>0.67</x:v>
      </x:c>
      <x:c r="F37" s="2" t="str">
        <x:v>partial</x:v>
      </x:c>
      <x:c r="G37" s="11" t="str">
        <x:v>DART 2025 영업이익률 18.8%와 2026H1 영업이익 증가 60.8%는 긍정적이다. 그러나 2025 영업현금 1,688억원에서 유형·무형 취득액을 빼면 136억원만 남고, 2026H1에는 영업현금 -496억원과 취득액 지출로 차감액이 -1,287억원이다. 반기 부채총계/자본은 70.6%다. 네이버 현재 PER 41.02배·PBR 9.60배는 현금창출이 뒤따라야 정당화된다. 유지투자와 고객관계의 지속성을 확인할 자료가 없어 현재 가격에는 보수적으로 부정적이다.</x:v>
      </x:c>
      <x:c r="H37" s="11" t="str">
        <x:v>https://dart.fss.or.kr/dsaf001/main.do?rcpNo=20260323000847
https://dart.fss.or.kr/dsaf001/main.do?rcpNo=20260814002283</x:v>
      </x:c>
    </x:row>
    <x:row r="38" ht="92" customHeight="1">
      <x:c r="A38" s="27" t="str">
        <x:v>007660</x:v>
      </x:c>
      <x:c r="B38" s="12" t="str">
        <x:v>이수페타시스</x:v>
      </x:c>
      <x:c r="C38" s="12" t="str">
        <x:v>린치</x:v>
      </x:c>
      <x:c r="D38" s="12" t="str">
        <x:v>유보</x:v>
      </x:c>
      <x:c r="E38" s="18" t="n">
        <x:v>0.6</x:v>
      </x:c>
      <x:c r="F38" s="12" t="str">
        <x:v>partial</x:v>
      </x:c>
      <x:c r="G38" s="14" t="str">
        <x:v>DART의 2025 매출 30.0% 증가에 이어 2026H1 매출 45.8%·영업이익 60.8% 증가로 고성장 후보의 외형은 이어진다. 반면 H1 순익 1,102억원에도 영업현금은 -496억원, 유형·무형 취득 차감 후 -1,287억원으로 현금전환은 악화됐다. 부채총계/자본 0.71배와 현금 1,444억원을 함께 보며 자금 회수 확인이 필요하다. 9/9 네이버 PER 41.02배가 요구하는 성장 지속성을 아직 단정할 수 없고, DART와 기간이 달라 PEG는 미확정이다.</x:v>
      </x:c>
      <x:c r="H38" s="14" t="str">
        <x:v>https://dart.fss.or.kr/dsaf001/main.do?rcpNo=20260323000847
https://dart.fss.or.kr/dsaf001/main.do?rcpNo=20260814002283</x:v>
      </x:c>
    </x:row>
    <x:row r="39" ht="92" customHeight="1">
      <x:c r="A39" s="23" t="str">
        <x:v>007660</x:v>
      </x:c>
      <x:c r="B39" s="2" t="str">
        <x:v>이수페타시스</x:v>
      </x:c>
      <x:c r="C39" s="2" t="str">
        <x:v>피셔</x:v>
      </x:c>
      <x:c r="D39" s="2" t="str">
        <x:v>유보</x:v>
      </x:c>
      <x:c r="E39" s="17" t="n">
        <x:v>0.62</x:v>
      </x:c>
      <x:c r="F39" s="2" t="str">
        <x:v>partial</x:v>
      </x:c>
      <x:c r="G39" s="11" t="str">
        <x:v>DART상 2023~25년 매출 CAGR은 26.9%, 영업마진은 9.21%에서 18.82%로 개선됐다. 2026H1 매출 45.8% 증가와 마진 20.03%도 우호적이지만 CFO는 -496억원, 유·무형 취득 후 현금은 -1,287억원으로 생산투자와 성장의 현금회수가 균형을 이루지 못했다. 네이버 현재 PER 41.02배에는 지속적 고성장 기대가 필요해 판단을 유보한다. R&amp;D 효율·고객 집중도·경영진 실사는 미확인이며 DART와 가격의 기간 차이로 PEG는 확정하지 않는다.</x:v>
      </x:c>
      <x:c r="H39" s="11" t="str">
        <x:v>https://dart.fss.or.kr/dsaf001/main.do?rcpNo=20260323000847
https://dart.fss.or.kr/dsaf001/main.do?rcpNo=20260814002283</x:v>
      </x:c>
    </x:row>
    <x:row r="40" ht="92" customHeight="1">
      <x:c r="A40" s="27" t="str">
        <x:v>327260</x:v>
      </x:c>
      <x:c r="B40" s="12" t="str">
        <x:v>RF머트리얼즈</x:v>
      </x:c>
      <x:c r="C40" s="12" t="str">
        <x:v>버핏</x:v>
      </x:c>
      <x:c r="D40" s="12" t="str">
        <x:v>부정</x:v>
      </x:c>
      <x:c r="E40" s="18" t="n">
        <x:v>0.7</x:v>
      </x:c>
      <x:c r="F40" s="12" t="str">
        <x:v>partial</x:v>
      </x:c>
      <x:c r="G40" s="14" t="str">
        <x:v>DART 2023~2024 영업손실 후 2025 영업이익 74억원으로 전환했지만 영업이익률은 11.5%다. 2026H1 영업이익 85억원 대비 영업현금은 2억원에 그치고 유형·무형 취득 차감액은 -38억원이다. 현금은 2025년 말 313억원에서 반기 37억원으로 줄었다. 부채총계/자본 33.4%가 과도하지 않아도 네이버 현재 PER 61.13배·PBR 8.81배는 짧은 흑자 이력과 현금 변동에 비해 부담스럽다. 해자·유지투자·반복 수익이 미검증이라 현재 가격에 부정적이다.</x:v>
      </x:c>
      <x:c r="H40" s="14" t="str">
        <x:v>https://dart.fss.or.kr/dsaf001/main.do?rcpNo=20260318001224
https://dart.fss.or.kr/dsaf001/main.do?rcpNo=20260814001631</x:v>
      </x:c>
    </x:row>
    <x:row r="41" ht="92" customHeight="1">
      <x:c r="A41" s="23" t="str">
        <x:v>327260</x:v>
      </x:c>
      <x:c r="B41" s="2" t="str">
        <x:v>RF머트리얼즈</x:v>
      </x:c>
      <x:c r="C41" s="2" t="str">
        <x:v>린치</x:v>
      </x:c>
      <x:c r="D41" s="2" t="str">
        <x:v>부정</x:v>
      </x:c>
      <x:c r="E41" s="17" t="n">
        <x:v>0.73</x:v>
      </x:c>
      <x:c r="F41" s="2" t="str">
        <x:v>partial</x:v>
      </x:c>
      <x:c r="G41" s="11" t="str">
        <x:v>DART의 2024 영업적자 이후 2025 흑자전환, 2026H1 매출 58.9%·영업이익 213.1% 증가로 회복은 확인된다. 하지만 H1 순익 86억원에도 영업현금은 2억원이며 유형·무형 취득 후 -37억원이고 현금은 전년 말 313억에서 37억원으로 줄었다. 부채총계/자본 0.33배만으로 현금전환의 취약성을 상쇄하기 어렵다. 9/9 네이버 PER 61.13배는 짧은 흑자 이력에 높은 기대를 얹은 가격으로 판단하며, 적자 기저와 기간 차이로 PEG는 계산하지 않는다.</x:v>
      </x:c>
      <x:c r="H41" s="11" t="str">
        <x:v>https://dart.fss.or.kr/dsaf001/main.do?rcpNo=20260318001224
https://dart.fss.or.kr/dsaf001/main.do?rcpNo=20260814001631</x:v>
      </x:c>
    </x:row>
    <x:row r="42" ht="92" customHeight="1">
      <x:c r="A42" s="27" t="str">
        <x:v>327260</x:v>
      </x:c>
      <x:c r="B42" s="12" t="str">
        <x:v>RF머트리얼즈</x:v>
      </x:c>
      <x:c r="C42" s="12" t="str">
        <x:v>피셔</x:v>
      </x:c>
      <x:c r="D42" s="12" t="str">
        <x:v>부정</x:v>
      </x:c>
      <x:c r="E42" s="18" t="n">
        <x:v>0.69</x:v>
      </x:c>
      <x:c r="F42" s="12" t="str">
        <x:v>partial</x:v>
      </x:c>
      <x:c r="G42" s="14" t="str">
        <x:v>DART상 2025년 매출 44.0% 증가와 영업흑자 전환, 2026H1 매출 58.9% 증가와 마진 18.82%는 회복을 보여준다. 그러나 반기 순이익 86억원에 CFO는 2억원뿐이며 유형자산 취득 38억원 등으로 유·무형 취득 후 현금은 -38억원이다. 2023~24년 영업손익이 적자였던 점과 네이버 현재 PER 61.13배를 함께 보면 성장의 지속성과 현금회수 대비 가격 부담이 크다. R&amp;D·고객·경영진 실사는 미확인이며 기간 차이로 PEG를 미산출한다.</x:v>
      </x:c>
      <x:c r="H42" s="14" t="str">
        <x:v>https://dart.fss.or.kr/dsaf001/main.do?rcpNo=20260318001224
https://dart.fss.or.kr/dsaf001/main.do?rcpNo=20260814001631</x:v>
      </x:c>
    </x:row>
    <x:row r="43" ht="92" customHeight="1">
      <x:c r="A43" s="23" t="str">
        <x:v>039200</x:v>
      </x:c>
      <x:c r="B43" s="2" t="str">
        <x:v>오스코텍</x:v>
      </x:c>
      <x:c r="C43" s="2" t="str">
        <x:v>버핏</x:v>
      </x:c>
      <x:c r="D43" s="2" t="str">
        <x:v>유보</x:v>
      </x:c>
      <x:c r="E43" s="17" t="n">
        <x:v>0.45</x:v>
      </x:c>
      <x:c r="F43" s="2" t="str">
        <x:v>partial</x:v>
      </x:c>
      <x:c r="G43" s="11" t="str">
        <x:v>DART 2023~2024 영업손실 후 2025 영업이익 521억원으로 전환했지만 영업현금은 83억원이었다. 2026H1 영업현금 978억원에는 원계정상 매출채권 감소 582억원이 포함돼 같은 속도의 현금창출을 외삽할 수 없다. 반기 부채총계/자본 19.2%와 네이버 현재 PER 14.15배는 긍정적이나 PBR은 6.17배다. 수익의 계약상 반복성·제품 의존도·특허의 지속성 및 유지투자가 확인되지 않아 최근 흑자를 장기 해자로 판단하지 않고 결론을 유보한다.</x:v>
      </x:c>
      <x:c r="H43" s="11" t="str">
        <x:v>https://dart.fss.or.kr/dsaf001/main.do?rcpNo=20260319001005
https://dart.fss.or.kr/dsaf001/main.do?rcpNo=20260814003016</x:v>
      </x:c>
    </x:row>
    <x:row r="44" ht="92" customHeight="1">
      <x:c r="A44" s="27" t="str">
        <x:v>039200</x:v>
      </x:c>
      <x:c r="B44" s="12" t="str">
        <x:v>오스코텍</x:v>
      </x:c>
      <x:c r="C44" s="12" t="str">
        <x:v>린치</x:v>
      </x:c>
      <x:c r="D44" s="12" t="str">
        <x:v>유보</x:v>
      </x:c>
      <x:c r="E44" s="18" t="n">
        <x:v>0.46</x:v>
      </x:c>
      <x:c r="F44" s="12" t="str">
        <x:v>partial</x:v>
      </x:c>
      <x:c r="G44" s="14" t="str">
        <x:v>DART상 2023·2024 영업적자에서 2025 영업이익 521억원으로 전환했고 2026H1 매출 563억원·영업이익 287억원을 기록해 흑자전환형으로 분류한다. H1 영업현금 978억원과 부채총계/자본 0.19배는 개선 근거다. 그러나 2025 영업현금은 83억원에 그쳤고 매출의 반복 계약·일회성 대가 구분은 제공 자료로 확인되지 않아 고성장을 외삽하지 않는다. 9/9 네이버 PER 14.15배의 매력은 조건부이며, 비교기간 적자와 실적 시점 차이로 PEG는 성립하지 않는다.</x:v>
      </x:c>
      <x:c r="H44" s="14" t="str">
        <x:v>https://dart.fss.or.kr/dsaf001/main.do?rcpNo=20260319001005
https://dart.fss.or.kr/dsaf001/main.do?rcpNo=20260814003016</x:v>
      </x:c>
    </x:row>
    <x:row r="45" ht="92" customHeight="1">
      <x:c r="A45" s="23" t="str">
        <x:v>039200</x:v>
      </x:c>
      <x:c r="B45" s="2" t="str">
        <x:v>오스코텍</x:v>
      </x:c>
      <x:c r="C45" s="2" t="str">
        <x:v>피셔</x:v>
      </x:c>
      <x:c r="D45" s="2" t="str">
        <x:v>유보</x:v>
      </x:c>
      <x:c r="E45" s="17" t="n">
        <x:v>0.59</x:v>
      </x:c>
      <x:c r="F45" s="2" t="str">
        <x:v>partial</x:v>
      </x:c>
      <x:c r="G45" s="11" t="str">
        <x:v>DART상 2025년 매출은 193.6% 늘고 영업흑자로 전환했으며, 원문 연구개발비 276억원은 매출의 27.7%로 투입 규모가 확인된다. 2026H1 매출도 371.0% 증가하고 마진 50.95%, CFO 978억원을 기록했지만 2025년 CFO는 순이익 544억원 대비 83억원에 그쳐 현금회수 시점 변동이 크다. R&amp;D 지출이 반복 매출과 개발 성공으로 이어지는지는 미확인이다. 네이버 현재 PER 14.15배와 DART 기간이 달라 PEG를 미산출하며 고객·경영진 실사도 없다.</x:v>
      </x:c>
      <x:c r="H45" s="11" t="str">
        <x:v>https://dart.fss.or.kr/dsaf001/main.do?rcpNo=20260319001005
https://dart.fss.or.kr/dsaf001/main.do?rcpNo=20260814003016</x:v>
      </x:c>
    </x:row>
    <x:row r="46" ht="92" customHeight="1">
      <x:c r="A46" s="27" t="str">
        <x:v>214150</x:v>
      </x:c>
      <x:c r="B46" s="12" t="str">
        <x:v>클래시스</x:v>
      </x:c>
      <x:c r="C46" s="12" t="str">
        <x:v>버핏</x:v>
      </x:c>
      <x:c r="D46" s="12" t="str">
        <x:v>유보</x:v>
      </x:c>
      <x:c r="E46" s="18" t="n">
        <x:v>0.63</x:v>
      </x:c>
      <x:c r="F46" s="12" t="str">
        <x:v>partial</x:v>
      </x:c>
      <x:c r="G46" s="14" t="str">
        <x:v>DART 2023~2025 유형·무형 취득 차감현금 585억→920억→1,447억원과 2025 영업이익률 50.7%는 우수한 현금창출을 보여준다. 네이버 현재 PER 14.97배·PBR 3.73배도 검토할 만하다. 다만 2026H1 매출이 20.1% 증가해도 영업이익은 0.8% 감소했고 차감현금은 80억원으로 전년 동기 423억원에서 줄었다. 반기 부채총계/자본 39.6%는 감당 가능한 수준으로 보이나 현금 둔화 원인·반복 매출·유지투자·해자 미확인으로 판단을 유보한다.</x:v>
      </x:c>
      <x:c r="H46" s="14" t="str">
        <x:v>https://dart.fss.or.kr/dsaf001/main.do?rcpNo=20260323001541
https://dart.fss.or.kr/dsaf001/main.do?rcpNo=20260814004072</x:v>
      </x:c>
    </x:row>
    <x:row r="47" ht="92" customHeight="1">
      <x:c r="A47" s="23" t="str">
        <x:v>214150</x:v>
      </x:c>
      <x:c r="B47" s="2" t="str">
        <x:v>클래시스</x:v>
      </x:c>
      <x:c r="C47" s="2" t="str">
        <x:v>린치</x:v>
      </x:c>
      <x:c r="D47" s="2" t="str">
        <x:v>유보</x:v>
      </x:c>
      <x:c r="E47" s="17" t="n">
        <x:v>0.64</x:v>
      </x:c>
      <x:c r="F47" s="2" t="str">
        <x:v>partial</x:v>
      </x:c>
      <x:c r="G47" s="11" t="str">
        <x:v>DART의 2025 매출 38.6%·영업이익 39.3% 증가에 비해 2026H1 매출은 20.1% 늘어도 영업이익은 0.8% 줄어 성장의 이익 전환이 약해졌다. H1 영업현금 155억원은 순익 587억원의 26%이고 취득 차감 후 현금도 80억원에 그친다. 부채총계/자본은 0.40배로 심각한 부담을 단정할 수준은 아니지만 2025의 강한 현금전환이 반복되지 않았다. 9/9 네이버 PER 14.97배만으로 고성장 저평가를 확정하지 않고, 기간 불일치 PEG도 적용하지 않는다.</x:v>
      </x:c>
      <x:c r="H47" s="11" t="str">
        <x:v>https://dart.fss.or.kr/dsaf001/main.do?rcpNo=20260323001541
https://dart.fss.or.kr/dsaf001/main.do?rcpNo=20260814004072</x:v>
      </x:c>
    </x:row>
    <x:row r="48" ht="92" customHeight="1">
      <x:c r="A48" s="27" t="str">
        <x:v>214150</x:v>
      </x:c>
      <x:c r="B48" s="12" t="str">
        <x:v>클래시스</x:v>
      </x:c>
      <x:c r="C48" s="12" t="str">
        <x:v>피셔</x:v>
      </x:c>
      <x:c r="D48" s="12" t="str">
        <x:v>유보</x:v>
      </x:c>
      <x:c r="E48" s="18" t="n">
        <x:v>0.63</x:v>
      </x:c>
      <x:c r="F48" s="12" t="str">
        <x:v>partial</x:v>
      </x:c>
      <x:c r="G48" s="14" t="str">
        <x:v>DART상 2023~25년 매출 CAGR 36.7%와 약 50%의 영업마진은 강점이다. 그러나 2026H1 매출이 20.1% 늘어도 마진은 전년 동기 50.99%에서 42.11%로 낮아졌고 CFO는 533억원에서 155억원으로 줄었다. 유·무형 취득 후 현금도 80억원에 그쳐 성장의 현금전환과 마진 회복을 더 확인해야 한다. 네이버 현재 PER 14.97배가 완충하지만 R&amp;D 효율·고객 유지·경영진 실사는 미확인이다. DART와 가격의 기간 차이로 PEG를 확정하지 않는다.</x:v>
      </x:c>
      <x:c r="H48" s="14" t="str">
        <x:v>https://dart.fss.or.kr/dsaf001/main.do?rcpNo=20260323001541
https://dart.fss.or.kr/dsaf001/main.do?rcpNo=20260814004072</x:v>
      </x:c>
    </x:row>
    <x:row r="49" ht="92" customHeight="1">
      <x:c r="A49" s="23" t="str">
        <x:v>031980</x:v>
      </x:c>
      <x:c r="B49" s="2" t="str">
        <x:v>피에스케이홀딩스</x:v>
      </x:c>
      <x:c r="C49" s="2" t="str">
        <x:v>버핏</x:v>
      </x:c>
      <x:c r="D49" s="2" t="str">
        <x:v>유보</x:v>
      </x:c>
      <x:c r="E49" s="17" t="n">
        <x:v>0.57</x:v>
      </x:c>
      <x:c r="F49" s="2" t="str">
        <x:v>partial</x:v>
      </x:c>
      <x:c r="G49" s="11" t="str">
        <x:v>DART 2025 영업이익률 35.3%, 영업현금에서 유형·무형 취득액을 뺀 792억원과 부채총계/자본 15.5%는 양호하다. 다만 2025 영업이익은 전년 885억원에서 734억원으로 줄었고 2026H1 순이익 444억원은 영업이익 230억원보다 커 반복성을 더 확인해야 한다. 네이버 현재 PER 31.87배·PBR 6.12배는 여유로운 가격으로 보기 어렵다. 반기 무형 취득액은 미확인이고 장기 해자·유지투자·자본배분 실적이 없어 긍정적 재무와 가격 부담을 함께 두고 유보한다.</x:v>
      </x:c>
      <x:c r="H49" s="11" t="str">
        <x:v>https://dart.fss.or.kr/dsaf001/main.do?rcpNo=20260320000819
https://dart.fss.or.kr/dsaf001/main.do?rcpNo=20260814000743</x:v>
      </x:c>
    </x:row>
    <x:row r="50" ht="92" customHeight="1">
      <x:c r="A50" s="27" t="str">
        <x:v>031980</x:v>
      </x:c>
      <x:c r="B50" s="12" t="str">
        <x:v>피에스케이홀딩스</x:v>
      </x:c>
      <x:c r="C50" s="12" t="str">
        <x:v>린치</x:v>
      </x:c>
      <x:c r="D50" s="12" t="str">
        <x:v>유보</x:v>
      </x:c>
      <x:c r="E50" s="18" t="n">
        <x:v>0.58</x:v>
      </x:c>
      <x:c r="F50" s="12" t="str">
        <x:v>partial</x:v>
      </x:c>
      <x:c r="G50" s="14" t="str">
        <x:v>DART에서 2025 매출 -3.6%·영업이익 -17.0% 이후 2026H1 매출 14.4%·영업이익 27.7% 증가해 지속 고성장보다 회복형으로 본다. H1 영업현금 274억원은 순익 444억원보다 적지만 부채총계/자본 0.20배, 현금 1,506억원은 완충 역할을 한다. 원자료에 H1 유형자산 취득 13억원은 있으나 무형자산 취득 누락으로 완전한 FCF는 확정하지 않는다. 9/9 네이버 PER 31.87배는 회복 지속 확인을 요구하며 기간이 달라 PEG도 유보한다.</x:v>
      </x:c>
      <x:c r="H50" s="14" t="str">
        <x:v>https://dart.fss.or.kr/dsaf001/main.do?rcpNo=20260320000819
https://dart.fss.or.kr/dsaf001/main.do?rcpNo=20260814000743</x:v>
      </x:c>
    </x:row>
    <x:row r="51" ht="92" customHeight="1">
      <x:c r="A51" s="23" t="str">
        <x:v>031980</x:v>
      </x:c>
      <x:c r="B51" s="2" t="str">
        <x:v>피에스케이홀딩스</x:v>
      </x:c>
      <x:c r="C51" s="2" t="str">
        <x:v>피셔</x:v>
      </x:c>
      <x:c r="D51" s="2" t="str">
        <x:v>유보</x:v>
      </x:c>
      <x:c r="E51" s="17" t="n">
        <x:v>0.6</x:v>
      </x:c>
      <x:c r="F51" s="2" t="str">
        <x:v>partial</x:v>
      </x:c>
      <x:c r="G51" s="11" t="str">
        <x:v>DART상 2023~25년 매출 CAGR 48.1%와 달리 2025년 매출은 3.6% 감소하고 영업마진도 41.06%에서 35.33%로 낮아져 성장의 연속성은 불분명하다. 2026H1 매출 14.4% 증가와 마진 30.50%는 전년 동기보다 개선됐지만 CFO는 460억원에서 274억원으로 줄었다. 유형자산 취득은 13억원이며 무형자산 누락을 0으로 보지 않는다. 네이버 현재 PER 31.87배는 부담이다. R&amp;D·고객·경영진 실사와 동일기간 PEG 검증은 미완료다.</x:v>
      </x:c>
      <x:c r="H51" s="11" t="str">
        <x:v>https://dart.fss.or.kr/dsaf001/main.do?rcpNo=20260320000819
https://dart.fss.or.kr/dsaf001/main.do?rcpNo=20260814000743</x:v>
      </x:c>
    </x:row>
    <x:row r="52" ht="92" customHeight="1">
      <x:c r="A52" s="27" t="str">
        <x:v>483650</x:v>
      </x:c>
      <x:c r="B52" s="12" t="str">
        <x:v>달바글로벌</x:v>
      </x:c>
      <x:c r="C52" s="12" t="str">
        <x:v>버핏</x:v>
      </x:c>
      <x:c r="D52" s="12" t="str">
        <x:v>긍정</x:v>
      </x:c>
      <x:c r="E52" s="18" t="n">
        <x:v>0.54</x:v>
      </x:c>
      <x:c r="F52" s="12" t="str">
        <x:v>partial</x:v>
      </x:c>
      <x:c r="G52" s="14" t="str">
        <x:v>DART 2023~2025 영업이익은 324억→598억→1,015억원으로 늘었고 2026H1 영업이익도 55.8% 증가했다. 반기 유형·무형 취득 차감현금 803억원은 순이익 744억원을 웃돌며 부채총계/자본 35.0%로 관찰된 현금 전환과 재무여력에 제한적으로 긍정적이다. 네이버 현재 PER 20.71배·PBR 8.98배는 높은 기대를 반영한다. 브랜드 유지비·재구매·가격결정력과 경영진 실사가 없고 가격과 성장의 기간도 달라 PEG·해자·안전마진은 확정하지 않는다.</x:v>
      </x:c>
      <x:c r="H52" s="14" t="str">
        <x:v>https://dart.fss.or.kr/dsaf001/main.do?rcpNo=20260407001978
https://dart.fss.or.kr/dsaf001/main.do?rcpNo=20260814001262</x:v>
      </x:c>
    </x:row>
    <x:row r="53" ht="92" customHeight="1">
      <x:c r="A53" s="23" t="str">
        <x:v>483650</x:v>
      </x:c>
      <x:c r="B53" s="2" t="str">
        <x:v>달바글로벌</x:v>
      </x:c>
      <x:c r="C53" s="2" t="str">
        <x:v>린치</x:v>
      </x:c>
      <x:c r="D53" s="2" t="str">
        <x:v>긍정</x:v>
      </x:c>
      <x:c r="E53" s="17" t="n">
        <x:v>0.74</x:v>
      </x:c>
      <x:c r="F53" s="2" t="str">
        <x:v>partial</x:v>
      </x:c>
      <x:c r="G53" s="11" t="str">
        <x:v>DART 매출은 2023년 2,008억원에서 2025년 5,197억원으로 늘고 2026H1에도 매출 47.9%·영업이익 55.8% 증가해 반복 고성장 후보로 본다. H1 영업현금 813억원은 순익 744억원을 웃돌고 유형·무형 취득 후 803억원이 남으며 부채총계/자본은 0.35배다. 다만 2025 순익 413% 증가에는 낮은 기저가 있어 장기 성장률로 사용하지 않고 사업별 반복성은 미확인이다. 9/9 네이버 PER 20.71배는 조건부로 우호적이나 기간 차이로 PEG는 미확정이다.</x:v>
      </x:c>
      <x:c r="H53" s="11" t="str">
        <x:v>https://dart.fss.or.kr/dsaf001/main.do?rcpNo=20260407001978
https://dart.fss.or.kr/dsaf001/main.do?rcpNo=20260814001262</x:v>
      </x:c>
    </x:row>
    <x:row r="54" ht="92" customHeight="1">
      <x:c r="A54" s="27" t="str">
        <x:v>483650</x:v>
      </x:c>
      <x:c r="B54" s="12" t="str">
        <x:v>달바글로벌</x:v>
      </x:c>
      <x:c r="C54" s="12" t="str">
        <x:v>피셔</x:v>
      </x:c>
      <x:c r="D54" s="12" t="str">
        <x:v>긍정</x:v>
      </x:c>
      <x:c r="E54" s="18" t="n">
        <x:v>0.7</x:v>
      </x:c>
      <x:c r="F54" s="12" t="str">
        <x:v>partial</x:v>
      </x:c>
      <x:c r="G54" s="14" t="str">
        <x:v>DART상 2023~25년 매출 CAGR 60.9%와 영업마진 16.16%에서 19.52%로의 개선이 확인된다. 2026H1에도 매출 47.9% 증가, 마진 25.78%로 전년 동기보다 확대됐고 CFO 813억원은 순이익 744억원을 웃돈다. 유·무형 취득 후 현금 803억원으로 재투자와 현금창출의 조합이 좋다. 다만 네이버 현재 PER 20.71배·PBR 8.98배는 성장 기대를 반영한다. R&amp;D 효율·고객 재구매·경영진 실사는 미확인이고 기간 차이로 PEG를 확정하지 않는다.</x:v>
      </x:c>
      <x:c r="H54" s="14" t="str">
        <x:v>https://dart.fss.or.kr/dsaf001/main.do?rcpNo=20260407001978
https://dart.fss.or.kr/dsaf001/main.do?rcpNo=20260814001262</x:v>
      </x:c>
    </x:row>
    <x:row r="55" ht="92" customHeight="1">
      <x:c r="A55" s="23" t="str">
        <x:v>001450</x:v>
      </x:c>
      <x:c r="B55" s="2" t="str">
        <x:v>현대해상</x:v>
      </x:c>
      <x:c r="C55" s="2" t="str">
        <x:v>버핏</x:v>
      </x:c>
      <x:c r="D55" s="2" t="str">
        <x:v>유보</x:v>
      </x:c>
      <x:c r="E55" s="17" t="n">
        <x:v>0.32</x:v>
      </x:c>
      <x:c r="F55" s="2" t="str">
        <x:v>insufficient</x:v>
      </x:c>
      <x:c r="G55" s="11" t="str">
        <x:v>DART 원계정상 2025 보험손익은 8,090억원으로 2024년 1조4,340억원에서 감소했고 투자손익은 8,484억원으로 증가했다. 2026H1 보험손익은 9,007억원이나 해약환급금준비금 반영 조정이익은 2,110억원이다. 네이버 현재 PER 3.70배·PBR 0.59배는 낮지만 K-ICS와 준비금 충분성 자료가 없어 주주에게 배분 가능한 이익과 재무안전을 평가하기 어렵다. 보험부채와 영업현금을 일반 기업처럼 해석하지 않으며 insufficient_data로 판단을 중단한다.</x:v>
      </x:c>
      <x:c r="H55" s="11" t="str">
        <x:v>https://dart.fss.or.kr/dsaf001/main.do?rcpNo=20260312001448
https://dart.fss.or.kr/dsaf001/main.do?rcpNo=20260814003474</x:v>
      </x:c>
    </x:row>
    <x:row r="56" ht="92" customHeight="1">
      <x:c r="A56" s="27" t="str">
        <x:v>001450</x:v>
      </x:c>
      <x:c r="B56" s="12" t="str">
        <x:v>현대해상</x:v>
      </x:c>
      <x:c r="C56" s="12" t="str">
        <x:v>린치</x:v>
      </x:c>
      <x:c r="D56" s="12" t="str">
        <x:v>유보</x:v>
      </x:c>
      <x:c r="E56" s="18" t="n">
        <x:v>0.39</x:v>
      </x:c>
      <x:c r="F56" s="12" t="str">
        <x:v>insufficient</x:v>
      </x:c>
      <x:c r="G56" s="14" t="str">
        <x:v>DART 원계정의 2026H1 보험수익은 7.19조원으로 전년 6.94조원보다 완만히 늘고, 보험손익은 5,958억→9,007억원으로 회복했다. 다만 2025 보험손익은 1.43조→0.81조원으로 감소해 꾸준한 고성장으로 분류하지 않는다. 9/9 네이버 PER 3.70배는 낮지만 보험부채를 일반 차입금처럼 해석하거나 영업현금 1.39조원을 자유현금으로 볼 수 없다. K-ICS·준비금 적정성의 핵심 근거가 없어 insufficient_data이며, 기간이 다른 PEG도 미확정이다.</x:v>
      </x:c>
      <x:c r="H56" s="14" t="str">
        <x:v>https://dart.fss.or.kr/dsaf001/main.do?rcpNo=20260312001448
https://dart.fss.or.kr/dsaf001/main.do?rcpNo=20260814003474</x:v>
      </x:c>
    </x:row>
    <x:row r="57" ht="92" customHeight="1">
      <x:c r="A57" s="23" t="str">
        <x:v>001450</x:v>
      </x:c>
      <x:c r="B57" s="2" t="str">
        <x:v>현대해상</x:v>
      </x:c>
      <x:c r="C57" s="2" t="str">
        <x:v>피셔</x:v>
      </x:c>
      <x:c r="D57" s="2" t="str">
        <x:v>유보</x:v>
      </x:c>
      <x:c r="E57" s="17" t="n">
        <x:v>0.55</x:v>
      </x:c>
      <x:c r="F57" s="2" t="str">
        <x:v>partial</x:v>
      </x:c>
      <x:c r="G57" s="11" t="str">
        <x:v>DART 원문 보험수익은 2025년 14.14조원으로 3.1%, 2026H1에는 7.19조원으로 3.6% 증가해 고성장 근거는 약하다. 보험손익/보험수익은 2025년 5.72%로 전년 10.46%보다 낮았지만 반기는 8.59%에서 12.53%로 회복돼 추세가 혼재한다. 네이버 현재 PER 3.70배는 낮아도 지속적 재투자 수익성을 확정하기 어렵다. 보험 CFO는 일반기업 FCF로 해석하지 않으며 CSM·지급여력·고객 및 경영진 실사는 미확인이다. 재무기간 차이로 PEG도 유보한다.</x:v>
      </x:c>
      <x:c r="H57" s="11" t="str">
        <x:v>https://dart.fss.or.kr/dsaf001/main.do?rcpNo=20260312001448
https://dart.fss.or.kr/dsaf001/main.do?rcpNo=20260814003474</x:v>
      </x:c>
    </x:row>
    <x:row r="58" ht="92" customHeight="1">
      <x:c r="A58" s="27" t="str">
        <x:v>000500</x:v>
      </x:c>
      <x:c r="B58" s="12" t="str">
        <x:v>가온전선</x:v>
      </x:c>
      <x:c r="C58" s="12" t="str">
        <x:v>버핏</x:v>
      </x:c>
      <x:c r="D58" s="12" t="str">
        <x:v>부정</x:v>
      </x:c>
      <x:c r="E58" s="18" t="n">
        <x:v>0.76</x:v>
      </x:c>
      <x:c r="F58" s="12" t="str">
        <x:v>partial</x:v>
      </x:c>
      <x:c r="G58" s="14" t="str">
        <x:v>DART 2025 영업이익률은 3.1%, 순이익 514억원 대비 영업현금은 417억원이다. 2026H1 영업이익은 전년 동기보다 41.8% 늘었지만 영업현금은 -1,743억원, 부채총계/자본은 213.3%로 현금 회수와 재무여력이 약해졌다. 네이버 현재 PER 122.97배·PBR 14.91배는 이 자료에서 확인되는 수익성에 비해 부담스럽다. 장기 해자·유지투자·정상 소유주이익은 미검증이며, 성장률과 가격의 기준 기간이 달라 안전마진을 인정하지 않는다.</x:v>
      </x:c>
      <x:c r="H58" s="14" t="str">
        <x:v>https://dart.fss.or.kr/dsaf001/main.do?rcpNo=20260316000969
https://dart.fss.or.kr/dsaf001/main.do?rcpNo=20260814000919</x:v>
      </x:c>
    </x:row>
    <x:row r="59" ht="92" customHeight="1">
      <x:c r="A59" s="23" t="str">
        <x:v>000500</x:v>
      </x:c>
      <x:c r="B59" s="2" t="str">
        <x:v>가온전선</x:v>
      </x:c>
      <x:c r="C59" s="2" t="str">
        <x:v>린치</x:v>
      </x:c>
      <x:c r="D59" s="2" t="str">
        <x:v>부정</x:v>
      </x:c>
      <x:c r="E59" s="17" t="n">
        <x:v>0.77</x:v>
      </x:c>
      <x:c r="F59" s="2" t="str">
        <x:v>partial</x:v>
      </x:c>
      <x:c r="G59" s="11" t="str">
        <x:v>DART상 2025 매출 47.4%, 2026H1 매출 27.3%·영업이익 41.8% 증가로 성장 자체는 확인된다. 그러나 H1 순익 425억원에 영업현금은 -1,743억원이며 부채총계/자본도 2.13배다. 현금으로 전환되지 않은 확장을 안정적 고성장으로 보긴 어렵다. 이 비율은 이자부 차입금 비율과 다르며 현금 유출 원인은 미확인이다. 9/9 네이버 PER 122.97배는 확인된 성장에 비해 부담이 크고, 실적 기간이 달라 PEG는 확정하지 않는다.</x:v>
      </x:c>
      <x:c r="H59" s="11" t="str">
        <x:v>https://dart.fss.or.kr/dsaf001/main.do?rcpNo=20260316000969
https://dart.fss.or.kr/dsaf001/main.do?rcpNo=20260814000919</x:v>
      </x:c>
    </x:row>
    <x:row r="60" ht="92" customHeight="1">
      <x:c r="A60" s="27" t="str">
        <x:v>000500</x:v>
      </x:c>
      <x:c r="B60" s="12" t="str">
        <x:v>가온전선</x:v>
      </x:c>
      <x:c r="C60" s="12" t="str">
        <x:v>피셔</x:v>
      </x:c>
      <x:c r="D60" s="12" t="str">
        <x:v>부정</x:v>
      </x:c>
      <x:c r="E60" s="18" t="n">
        <x:v>0.74</x:v>
      </x:c>
      <x:c r="F60" s="12" t="str">
        <x:v>partial</x:v>
      </x:c>
      <x:c r="G60" s="14" t="str">
        <x:v>DART상 2023~25년 매출 CAGR은 30.3%, 2026H1 매출은 전년 동기 대비 27.3% 증가했고 영업마진도 3.52%에서 3.92%로 개선됐다. 그러나 반기 CFO가 -1,743억원이고 유·무형자산 취득 후 현금은 -1,975억원으로 성장의 현금전환이 약하다. 네이버 현재 PER 122.97배는 낮은 마진과 회수 불확실성에 비해 부담이 크다. R&amp;D 규모·고객 유지력·경영진 실사는 미확인이며, 가격과 재무기간이 달라 PEG는 확정하지 않는다.</x:v>
      </x:c>
      <x:c r="H60" s="14" t="str">
        <x:v>https://dart.fss.or.kr/dsaf001/main.do?rcpNo=20260316000969
https://dart.fss.or.kr/dsaf001/main.do?rcpNo=20260814000919</x:v>
      </x:c>
    </x:row>
    <x:row r="61" ht="92" customHeight="1">
      <x:c r="A61" s="23" t="str">
        <x:v>124500</x:v>
      </x:c>
      <x:c r="B61" s="2" t="str">
        <x:v>아이티센글로벌</x:v>
      </x:c>
      <x:c r="C61" s="2" t="str">
        <x:v>버핏</x:v>
      </x:c>
      <x:c r="D61" s="2" t="str">
        <x:v>유보</x:v>
      </x:c>
      <x:c r="E61" s="17" t="n">
        <x:v>0.5</x:v>
      </x:c>
      <x:c r="F61" s="2" t="str">
        <x:v>partial</x:v>
      </x:c>
      <x:c r="G61" s="11" t="str">
        <x:v>DART 2025 연결 순이익 1,983억원 중 비지배지분은 1,516억원이어서 전액을 보통주 주주의 이익으로 볼 수 없다. 2025 유형·무형 취득 차감현금 2,060억원도 2026H1에는 -1,916억원으로 반전했고 반기 부채총계/자본은 145.5%다. 네이버 현재 PER 10.52배와 PBR 4.53배를 연결 총이익에 단순 대입하지 않는다. 반기 영업이익은 94.0% 성장했으나 주주 귀속 현금·운전자본 회수·반복 수익 구조와 해자를 확인하지 못해 판단을 유보한다.</x:v>
      </x:c>
      <x:c r="H61" s="11" t="str">
        <x:v>https://dart.fss.or.kr/dsaf001/main.do?rcpNo=20260323001492
https://dart.fss.or.kr/dsaf001/main.do?rcpNo=20260813001059</x:v>
      </x:c>
    </x:row>
    <x:row r="62" ht="92" customHeight="1">
      <x:c r="A62" s="27" t="str">
        <x:v>124500</x:v>
      </x:c>
      <x:c r="B62" s="12" t="str">
        <x:v>아이티센글로벌</x:v>
      </x:c>
      <x:c r="C62" s="12" t="str">
        <x:v>린치</x:v>
      </x:c>
      <x:c r="D62" s="12" t="str">
        <x:v>유보</x:v>
      </x:c>
      <x:c r="E62" s="18" t="n">
        <x:v>0.59</x:v>
      </x:c>
      <x:c r="F62" s="12" t="str">
        <x:v>partial</x:v>
      </x:c>
      <x:c r="G62" s="14" t="str">
        <x:v>DART에서 2025 매출 78.8%, 2026H1 매출 92.2%·영업이익 94.0% 증가로 확장이 이어진다. 그러나 H1 순익 1,098억원에도 영업현금은 -1,883억원이고 현금은 전년 말 3,972억에서 1,672억원으로 줄었다. 부채총계/자본은 1.46배이며 H1 영업이익률은 약 1.9%라 높은 외형 성장만으로 이익의 질을 낙관하기 어렵다. 9/9 네이버 PER 10.52배는 낮지만 현금 회수·반복성이 미확인이고, DART와 실적 기간이 달라 PEG는 확정하지 않는다.</x:v>
      </x:c>
      <x:c r="H62" s="14" t="str">
        <x:v>https://dart.fss.or.kr/dsaf001/main.do?rcpNo=20260323001492
https://dart.fss.or.kr/dsaf001/main.do?rcpNo=20260813001059</x:v>
      </x:c>
    </x:row>
    <x:row r="63" ht="92" customHeight="1">
      <x:c r="A63" s="23" t="str">
        <x:v>124500</x:v>
      </x:c>
      <x:c r="B63" s="2" t="str">
        <x:v>아이티센글로벌</x:v>
      </x:c>
      <x:c r="C63" s="2" t="str">
        <x:v>피셔</x:v>
      </x:c>
      <x:c r="D63" s="2" t="str">
        <x:v>유보</x:v>
      </x:c>
      <x:c r="E63" s="17" t="n">
        <x:v>0.61</x:v>
      </x:c>
      <x:c r="F63" s="2" t="str">
        <x:v>partial</x:v>
      </x:c>
      <x:c r="G63" s="11" t="str">
        <x:v>DART상 2023~25년 매출 CAGR 77.5%, 2026H1 매출 증가율 92.2%는 높지만 마진은 전년 동기 1.91%에서 1.93%로 거의 제자리다. 2025년 CFO 2,382억원과 달리 2026H1에는 -1,883억원이며 유·무형 취득 후 현금도 -1,916억원으로 회계상 성장과 현금회수가 분리된다. 네이버 현재 PER 10.52배만으로 충분한 성장 품질을 인정하기 어렵다. R&amp;D·매출 구성과 반복성·경영진 실사는 미확인이고 DART와 가격의 기간 차이로 PEG를 미산출한다.</x:v>
      </x:c>
      <x:c r="H63" s="11" t="str">
        <x:v>https://dart.fss.or.kr/dsaf001/main.do?rcpNo=20260323001492
https://dart.fss.or.kr/dsaf001/main.do?rcpNo=20260813001059</x:v>
      </x:c>
    </x:row>
    <x:row r="64" ht="92" customHeight="1">
      <x:c r="A64" s="27" t="str">
        <x:v>083650</x:v>
      </x:c>
      <x:c r="B64" s="12" t="str">
        <x:v>비에이치아이</x:v>
      </x:c>
      <x:c r="C64" s="12" t="str">
        <x:v>버핏</x:v>
      </x:c>
      <x:c r="D64" s="12" t="str">
        <x:v>부정</x:v>
      </x:c>
      <x:c r="E64" s="18" t="n">
        <x:v>0.69</x:v>
      </x:c>
      <x:c r="F64" s="12" t="str">
        <x:v>partial</x:v>
      </x:c>
      <x:c r="G64" s="14" t="str">
        <x:v>DART 2025 유형·무형 취득 차감현금 938억원, 2026H1 541억원은 긍정적이고 반기 영업이익도 146.1% 늘었다. 그러나 부채총계/자본이 2025년 367.6%에서 반기 444.6%로 높아졌고 반기 순이익은 34.1% 감소했다. 네이버 현재 PER 39.66배·PBR 10.22배는 이런 재무 부담과 이익 변동에 비해 비싸다. 부채총계를 차입금으로 혼동하진 않지만 계약부채 구성·수주 현금의 반복성·유지투자 자료가 없어 장기 보유 관점에서 보수적으로 부정적이다.</x:v>
      </x:c>
      <x:c r="H64" s="14" t="str">
        <x:v>https://dart.fss.or.kr/dsaf001/main.do?rcpNo=20260320000821
https://dart.fss.or.kr/dsaf001/main.do?rcpNo=20260814000764</x:v>
      </x:c>
    </x:row>
    <x:row r="65" ht="92" customHeight="1">
      <x:c r="A65" s="23" t="str">
        <x:v>083650</x:v>
      </x:c>
      <x:c r="B65" s="2" t="str">
        <x:v>비에이치아이</x:v>
      </x:c>
      <x:c r="C65" s="2" t="str">
        <x:v>린치</x:v>
      </x:c>
      <x:c r="D65" s="2" t="str">
        <x:v>부정</x:v>
      </x:c>
      <x:c r="E65" s="17" t="n">
        <x:v>0.7</x:v>
      </x:c>
      <x:c r="F65" s="2" t="str">
        <x:v>partial</x:v>
      </x:c>
      <x:c r="G65" s="11" t="str">
        <x:v>DART상 2025 매출 91.3%, 2026H1 매출 89.5%·영업이익 146.1% 증가로 외형 성장은 뚜렷하다. 그러나 H1 금융원가가 205억에서 796억원으로 늘어 순익은 34.1% 감소했다. 영업현금 672억원은 양호해도 부채총계/자본 4.45배와 금융원가 부담은 Lynch의 보수적 재무 기준에 불리하다. 부채총계 전부를 이자부 차입금으로 보지는 않는다. 9/9 네이버 PER 39.66배에서 위험 보상이 충분하다고 보기 어렵고, 기간이 다른 PEG는 확정하지 않는다.</x:v>
      </x:c>
      <x:c r="H65" s="11" t="str">
        <x:v>https://dart.fss.or.kr/dsaf001/main.do?rcpNo=20260320000821
https://dart.fss.or.kr/dsaf001/main.do?rcpNo=20260814000764</x:v>
      </x:c>
    </x:row>
    <x:row r="66" ht="92" customHeight="1">
      <x:c r="A66" s="27" t="str">
        <x:v>083650</x:v>
      </x:c>
      <x:c r="B66" s="12" t="str">
        <x:v>비에이치아이</x:v>
      </x:c>
      <x:c r="C66" s="12" t="str">
        <x:v>피셔</x:v>
      </x:c>
      <x:c r="D66" s="12" t="str">
        <x:v>긍정</x:v>
      </x:c>
      <x:c r="E66" s="18" t="n">
        <x:v>0.64</x:v>
      </x:c>
      <x:c r="F66" s="12" t="str">
        <x:v>partial</x:v>
      </x:c>
      <x:c r="G66" s="14" t="str">
        <x:v>DART상 2023~25년 매출 CAGR 45.2%와 영업마진 4.11%에서 9.75%로의 확대가 확인된다. 2026H1 매출도 89.5% 증가하고 마진이 전년 동기 10.78%에서 14.00%로 개선됐으며, CFO 672억원에서 유·무형 취득 후 541억원이 남아 재투자와 현금창출이 함께 나타난다. 다만 네이버 현재 PER 39.66배는 성장 지속 요구가 크다. R&amp;D 효율·수주 잔고의 질·고객 및 경영진 실사는 미확인이고 기간 차이로 PEG는 확정하지 않는다.</x:v>
      </x:c>
      <x:c r="H66" s="14" t="str">
        <x:v>https://dart.fss.or.kr/dsaf001/main.do?rcpNo=20260320000821
https://dart.fss.or.kr/dsaf001/main.do?rcpNo=20260814000764</x:v>
      </x:c>
    </x:row>
    <x:row r="67" ht="92" customHeight="1">
      <x:c r="A67" s="23" t="str">
        <x:v>078930</x:v>
      </x:c>
      <x:c r="B67" s="2" t="str">
        <x:v>GS</x:v>
      </x:c>
      <x:c r="C67" s="2" t="str">
        <x:v>버핏</x:v>
      </x:c>
      <x:c r="D67" s="2" t="str">
        <x:v>유보</x:v>
      </x:c>
      <x:c r="E67" s="17" t="n">
        <x:v>0.57</x:v>
      </x:c>
      <x:c r="F67" s="2" t="str">
        <x:v>partial</x:v>
      </x:c>
      <x:c r="G67" s="11" t="str">
        <x:v>DART 2023~2025 영업이익은 3.74조→3.08조→2.94조원으로 줄었고, 유형·무형 취득 차감현금도 1.93조원에서 2,824억원으로 감소했다. 2026H1 영업이익 2.98조원과 차감현금 8,193억원은 회복을 보여준다. 반기 부채총계/자본은 80.0%이며 네이버 현재 PER 4.95배·PBR 0.71배는 낮다. 그러나 연결 현금의 지주회사 주주 귀속·정상 수익력·유지투자와 계열 지분가치가 확인되지 않아 낮은 배수를 안전마진으로 확정하지 않는다.</x:v>
      </x:c>
      <x:c r="H67" s="11" t="str">
        <x:v>https://dart.fss.or.kr/dsaf001/main.do?rcpNo=20260318000836
https://dart.fss.or.kr/dsaf001/main.do?rcpNo=20260814003779</x:v>
      </x:c>
    </x:row>
    <x:row r="68" ht="92" customHeight="1">
      <x:c r="A68" s="27" t="str">
        <x:v>078930</x:v>
      </x:c>
      <x:c r="B68" s="12" t="str">
        <x:v>GS</x:v>
      </x:c>
      <x:c r="C68" s="12" t="str">
        <x:v>린치</x:v>
      </x:c>
      <x:c r="D68" s="12" t="str">
        <x:v>유보</x:v>
      </x:c>
      <x:c r="E68" s="18" t="n">
        <x:v>0.6</x:v>
      </x:c>
      <x:c r="F68" s="12" t="str">
        <x:v>partial</x:v>
      </x:c>
      <x:c r="G68" s="14" t="str">
        <x:v>DART의 2023~2025 영업이익 감소 뒤 2026H1 영업이익이 130.8% 증가해 경기순환형 회복으로 분류한다. H1 영업현금 1.62조원과 유형·무형 취득 차감 후 8,193억원은 양호하지만 과거 감소와 최근 급반등을 안정적 고성장으로 연결할 수는 없다. 부채총계/자본 0.80배는 차입금 비율과 다르며 정상 이익과 투자 부담의 지속 확인이 필요하다. 9/9 네이버 PER 4.95배는 관심 근거이나 주기 정상화 가치가 미검증이고 기간이 달라 PEG는 미확정이다.</x:v>
      </x:c>
      <x:c r="H68" s="14" t="str">
        <x:v>https://dart.fss.or.kr/dsaf001/main.do?rcpNo=20260318000836
https://dart.fss.or.kr/dsaf001/main.do?rcpNo=20260814003779</x:v>
      </x:c>
    </x:row>
    <x:row r="69" ht="92" customHeight="1">
      <x:c r="A69" s="23" t="str">
        <x:v>078930</x:v>
      </x:c>
      <x:c r="B69" s="2" t="str">
        <x:v>GS</x:v>
      </x:c>
      <x:c r="C69" s="2" t="str">
        <x:v>피셔</x:v>
      </x:c>
      <x:c r="D69" s="2" t="str">
        <x:v>유보</x:v>
      </x:c>
      <x:c r="E69" s="17" t="n">
        <x:v>0.57</x:v>
      </x:c>
      <x:c r="F69" s="2" t="str">
        <x:v>partial</x:v>
      </x:c>
      <x:c r="G69" s="11" t="str">
        <x:v>DART상 2023~25년 매출 CAGR은 -1.4%이고 영업마진도 14.44%에서 11.66%로 낮아져 장기 성장주 근거가 약하다. 2026H1 매출 17.2% 증가와 마진 20.88% 회복, 유·무형 취득 후 현금 8,193억원은 긍정적이지만 반기 회복을 구조적 성장으로 외삽하지 않는다. 네이버 현재 PER 4.95배는 가격 부담을 낮춘다. 유형자산 취득 7,365억원의 장기 수익률·R&amp;D 효과·경영진 실사는 미확인이고 DART와 평가기간 차이로 PEG는 유보한다.</x:v>
      </x:c>
      <x:c r="H69" s="11" t="str">
        <x:v>https://dart.fss.or.kr/dsaf001/main.do?rcpNo=20260318000836
https://dart.fss.or.kr/dsaf001/main.do?rcpNo=20260814003779</x:v>
      </x:c>
    </x:row>
    <x:row r="70" ht="92" customHeight="1">
      <x:c r="A70" s="27" t="str">
        <x:v>035900</x:v>
      </x:c>
      <x:c r="B70" s="12" t="str">
        <x:v>JYP Ent.</x:v>
      </x:c>
      <x:c r="C70" s="12" t="str">
        <x:v>버핏</x:v>
      </x:c>
      <x:c r="D70" s="12" t="str">
        <x:v>유보</x:v>
      </x:c>
      <x:c r="E70" s="18" t="n">
        <x:v>0.61</x:v>
      </x:c>
      <x:c r="F70" s="12" t="str">
        <x:v>partial</x:v>
      </x:c>
      <x:c r="G70" s="14" t="str">
        <x:v>DART 2025 영업이익률 18.9%, 유형·무형 취득 차감 후 현금 1,018억원과 2026H1 부채총계/자본 34.0%는 긍정적이다. 네이버 현재 PER 12.71배·PBR 1.98배도 과도한 배수는 아니다. 그러나 반기 영업이익은 전년 동기 대비 11.3% 줄었고, 2023~2025 차감현금도 1,382억→-221억→1,018억원으로 변동했다. 반복 수입·계약 갱신·유지투자 자료 없이 장기 수익성과 해자를 단정할 수 없어 안전마진 확정과 적극적 긍정 판단을 유보한다.</x:v>
      </x:c>
      <x:c r="H70" s="14" t="str">
        <x:v>https://dart.fss.or.kr/dsaf001/main.do?rcpNo=20260318001519
https://dart.fss.or.kr/dsaf001/main.do?rcpNo=20260814003204</x:v>
      </x:c>
    </x:row>
    <x:row r="71" ht="92" customHeight="1">
      <x:c r="A71" s="23" t="str">
        <x:v>035900</x:v>
      </x:c>
      <x:c r="B71" s="2" t="str">
        <x:v>JYP Ent.</x:v>
      </x:c>
      <x:c r="C71" s="2" t="str">
        <x:v>린치</x:v>
      </x:c>
      <x:c r="D71" s="2" t="str">
        <x:v>유보</x:v>
      </x:c>
      <x:c r="E71" s="17" t="n">
        <x:v>0.61</x:v>
      </x:c>
      <x:c r="F71" s="2" t="str">
        <x:v>partial</x:v>
      </x:c>
      <x:c r="G71" s="11" t="str">
        <x:v>DART의 2025 매출 36.6% 증가는 강했지만 2026H1 증가율은 3.5%로 둔화되고 영업이익은 11.3% 감소했다. 성장 지속보다 이익 회복 여부를 확인할 단계다. H1 영업현금 296억원·유형 및 무형 취득 차감 후 263억원은 흑자이며 현금 2,738억원은 부채총계 2,221억원보다 많다. 다만 순익의 현금전환은 55% 수준이고 향후 사업별 반복 매출은 자료에 없다. 9/9 네이버 PER 12.71배만으로 성장 저평가를 단정하지 않으며 기간이 달라 PEG는 미확정이다.</x:v>
      </x:c>
      <x:c r="H71" s="11" t="str">
        <x:v>https://dart.fss.or.kr/dsaf001/main.do?rcpNo=20260318001519
https://dart.fss.or.kr/dsaf001/main.do?rcpNo=20260814003204</x:v>
      </x:c>
    </x:row>
    <x:row r="72" ht="92" customHeight="1">
      <x:c r="A72" s="27" t="str">
        <x:v>035900</x:v>
      </x:c>
      <x:c r="B72" s="12" t="str">
        <x:v>JYP Ent.</x:v>
      </x:c>
      <x:c r="C72" s="12" t="str">
        <x:v>피셔</x:v>
      </x:c>
      <x:c r="D72" s="12" t="str">
        <x:v>유보</x:v>
      </x:c>
      <x:c r="E72" s="18" t="n">
        <x:v>0.6</x:v>
      </x:c>
      <x:c r="F72" s="12" t="str">
        <x:v>partial</x:v>
      </x:c>
      <x:c r="G72" s="14" t="str">
        <x:v>DART상 2023~25년 매출 CAGR 20.4%에도 영업마진은 29.91%에서 18.89%로 내려 성장의 수익성이 약해졌다. 2026H1 매출 증가도 3.5%에 그치고 마진은 전년 동기 20.34%에서 17.44%로 하락했다. 반기 유·무형 취득 후 현금 263억원은 양수지만 순이익 536억원보다 작다. 네이버 현재 PER 12.71배의 완충과 성장 둔화가 맞서 판단을 유보한다. R&amp;D에 대응하는 콘텐츠 재투자 효과·고객 지속성·경영진 실사는 미확인이며 기간 차이로 PEG를 미산출한다.</x:v>
      </x:c>
      <x:c r="H72" s="14" t="str">
        <x:v>https://dart.fss.or.kr/dsaf001/main.do?rcpNo=20260318001519
https://dart.fss.or.kr/dsaf001/main.do?rcpNo=20260814003204</x:v>
      </x:c>
    </x:row>
    <x:row r="73" ht="92" customHeight="1">
      <x:c r="A73" s="23" t="str">
        <x:v>041510</x:v>
      </x:c>
      <x:c r="B73" s="2" t="str">
        <x:v>에스엠</x:v>
      </x:c>
      <x:c r="C73" s="2" t="str">
        <x:v>버핏</x:v>
      </x:c>
      <x:c r="D73" s="2" t="str">
        <x:v>유보</x:v>
      </x:c>
      <x:c r="E73" s="17" t="n">
        <x:v>0.6</x:v>
      </x:c>
      <x:c r="F73" s="2" t="str">
        <x:v>partial</x:v>
      </x:c>
      <x:c r="G73" s="11" t="str">
        <x:v>DART 2025 영업이익 1,830억원, 유형·무형 취득 차감 후 현금 1,537억원은 양호하지만 순이익 3,594억원에는 지분법이익 2,140억원이 포함된다. 2026H1 영업이익은 14.0% 늘었으나 차감현금은 275억원으로 이익 전부가 현금은 아니다. 반기 부채총계/자본 45.0%, 네이버 현재 PER 13.95배·PBR 1.78배를 함께 검토하면 추가 실사 가치는 있다. 다만 관계기업 이익의 반복성·계약 지속성·유지투자와 경영진 자료가 없어 정상 소유주이익과 안전마진을 유보한다.</x:v>
      </x:c>
      <x:c r="H73" s="11" t="str">
        <x:v>https://dart.fss.or.kr/dsaf001/main.do?rcpNo=20260317000781
https://dart.fss.or.kr/dsaf001/main.do?rcpNo=20260814002930</x:v>
      </x:c>
    </x:row>
    <x:row r="74" ht="92" customHeight="1">
      <x:c r="A74" s="27" t="str">
        <x:v>041510</x:v>
      </x:c>
      <x:c r="B74" s="12" t="str">
        <x:v>에스엠</x:v>
      </x:c>
      <x:c r="C74" s="12" t="str">
        <x:v>린치</x:v>
      </x:c>
      <x:c r="D74" s="12" t="str">
        <x:v>유보</x:v>
      </x:c>
      <x:c r="E74" s="18" t="n">
        <x:v>0.59</x:v>
      </x:c>
      <x:c r="F74" s="12" t="str">
        <x:v>partial</x:v>
      </x:c>
      <x:c r="G74" s="14" t="str">
        <x:v>DART의 2026H1 매출 17.7%·영업이익 14.0% 증가는 완만한 성장 근거다. 순익 76.8% 감소는 원계정의 관계기업·공동기업투자손익이 전년 2,274억원에서 66억원으로 줄어든 점과 구분해 해석한다. H1 영업현금 436억원과 취득 차감 후 275억원은 양수지만 순익 전환율은 66%이며 부채총계/자본은 0.45배다. 9/9 네이버 PER 13.95배는 낮아 보여도 투자손익을 제외한 정상 성장률·배수는 미확인이고, 기간이 다른 PEG는 확정하지 않는다.</x:v>
      </x:c>
      <x:c r="H74" s="14" t="str">
        <x:v>https://dart.fss.or.kr/dsaf001/main.do?rcpNo=20260317000781
https://dart.fss.or.kr/dsaf001/main.do?rcpNo=20260814002930</x:v>
      </x:c>
    </x:row>
    <x:row r="75" ht="92" customHeight="1">
      <x:c r="A75" s="23" t="str">
        <x:v>041510</x:v>
      </x:c>
      <x:c r="B75" s="2" t="str">
        <x:v>에스엠</x:v>
      </x:c>
      <x:c r="C75" s="2" t="str">
        <x:v>피셔</x:v>
      </x:c>
      <x:c r="D75" s="2" t="str">
        <x:v>유보</x:v>
      </x:c>
      <x:c r="E75" s="17" t="n">
        <x:v>0.6</x:v>
      </x:c>
      <x:c r="F75" s="2" t="str">
        <x:v>partial</x:v>
      </x:c>
      <x:c r="G75" s="11" t="str">
        <x:v>DART상 2023~25년 매출 CAGR은 10.6%이고 2025년 영업마진은 8.82%에서 15.58%로 회복됐다. 2026H1 매출도 17.7% 늘었지만 마진은 전년 동기 15.01%에서 14.55%로 소폭 낮아졌다. 반기 CFO 436억원에서 유·무형 취득을 뺀 현금은 275억원으로 재투자는 감당하지만 고성장과 마진 확대가 동시에 지속된다고 보기는 이르다. 네이버 현재 PER 13.95배와 DART 기간은 다르다. 콘텐츠 재투자 효과·고객·경영진 실사는 미확인이며 PEG는 미산출한다.</x:v>
      </x:c>
      <x:c r="H75" s="11" t="str">
        <x:v>https://dart.fss.or.kr/dsaf001/main.do?rcpNo=20260317000781
https://dart.fss.or.kr/dsaf001/main.do?rcpNo=20260814002930</x:v>
      </x:c>
    </x:row>
    <x:row r="76" ht="92" customHeight="1">
      <x:c r="A76" s="27" t="str">
        <x:v>005830</x:v>
      </x:c>
      <x:c r="B76" s="12" t="str">
        <x:v>DB손해보험</x:v>
      </x:c>
      <x:c r="C76" s="12" t="str">
        <x:v>버핏</x:v>
      </x:c>
      <x:c r="D76" s="12" t="str">
        <x:v>유보</x:v>
      </x:c>
      <x:c r="E76" s="18" t="n">
        <x:v>0.35</x:v>
      </x:c>
      <x:c r="F76" s="12" t="str">
        <x:v>insufficient</x:v>
      </x:c>
      <x:c r="G76" s="14" t="str">
        <x:v>DART 2023~2025 순이익은 1.74조·1.85조·1.79조원으로 흑자를 유지했다. 원계정상 2025 보험손익은 1.15조원으로 전년 1.72조원보다 줄고 투자손익은 1.24조원으로 늘었다. 2026H1 보험손익 8,335억원과 네이버 현재 PER 7.06배·PBR 0.81배는 검토 가치가 있으나 K-ICS, 준비금 충분성, 배당 가능한 자본을 확인하지 못했다. 보험사의 영업현금이나 부채총계를 소유주이익·차입금으로 간주할 수 없어 insufficient_data로 결론을 보류한다.</x:v>
      </x:c>
      <x:c r="H76" s="14" t="str">
        <x:v>https://dart.fss.or.kr/dsaf001/main.do?rcpNo=20260331003904
https://dart.fss.or.kr/dsaf001/main.do?rcpNo=20260814003682</x:v>
      </x:c>
    </x:row>
    <x:row r="77" ht="92" customHeight="1">
      <x:c r="A77" s="23" t="str">
        <x:v>005830</x:v>
      </x:c>
      <x:c r="B77" s="2" t="str">
        <x:v>DB손해보험</x:v>
      </x:c>
      <x:c r="C77" s="2" t="str">
        <x:v>린치</x:v>
      </x:c>
      <x:c r="D77" s="2" t="str">
        <x:v>유보</x:v>
      </x:c>
      <x:c r="E77" s="17" t="n">
        <x:v>0.4</x:v>
      </x:c>
      <x:c r="F77" s="2" t="str">
        <x:v>insufficient</x:v>
      </x:c>
      <x:c r="G77" s="11" t="str">
        <x:v>DART 원계정에서 2026H1 보험수익은 8.48조원으로 전년 8.11조원보다 늘고 보험손익은 7,191억→8,335억원으로 개선됐다. 그러나 2025 보험손익은 1.72조→1.15조원으로 줄었고 H1 순익 증가는 3.0%라 고성장보다는 완만한 회복형이다. 9/9 네이버 PER 7.06배는 낮아도 영업현금 6.29조원은 보험계정 특성상 일반 FCF가 아니다. K-ICS·준비금 적정성 부족으로 insufficient_data이며, 일반 부채 기준과 기간 불일치 PEG는 적용하지 않는다.</x:v>
      </x:c>
      <x:c r="H77" s="11" t="str">
        <x:v>https://dart.fss.or.kr/dsaf001/main.do?rcpNo=20260331003904
https://dart.fss.or.kr/dsaf001/main.do?rcpNo=20260814003682</x:v>
      </x:c>
    </x:row>
    <x:row r="78" ht="92" customHeight="1">
      <x:c r="A78" s="27" t="str">
        <x:v>005830</x:v>
      </x:c>
      <x:c r="B78" s="12" t="str">
        <x:v>DB손해보험</x:v>
      </x:c>
      <x:c r="C78" s="12" t="str">
        <x:v>피셔</x:v>
      </x:c>
      <x:c r="D78" s="12" t="str">
        <x:v>유보</x:v>
      </x:c>
      <x:c r="E78" s="18" t="n">
        <x:v>0.56</x:v>
      </x:c>
      <x:c r="F78" s="12" t="str">
        <x:v>partial</x:v>
      </x:c>
      <x:c r="G78" s="14" t="str">
        <x:v>DART 원문 보험수익은 2025년 16.43조원으로 4.7% 증가했지만 보험손익은 1.15조원으로 33.4% 줄었다. 2026H1에는 보험수익 4.7%, 보험손익 15.9% 증가로 개선됐으나 보험손익/보험수익 9.82%만으로 장기 성장 전환을 확정하기 어렵다. 네이버 현재 PER 7.06배의 가격 부담은 제한적이다. 보험자산 운용이 섞인 CFO를 제조업 FCF로 보지 않으며 CSM·지급여력·재투자 수익성과 경영진 실사는 미확인이다. DART와 평가기간 차이로 PEG는 미산출한다.</x:v>
      </x:c>
      <x:c r="H78" s="14" t="str">
        <x:v>https://dart.fss.or.kr/dsaf001/main.do?rcpNo=20260331003904
https://dart.fss.or.kr/dsaf001/main.do?rcpNo=20260814003682</x:v>
      </x:c>
    </x:row>
    <x:row r="79" ht="92" customHeight="1">
      <x:c r="A79" s="23" t="str">
        <x:v>095340</x:v>
      </x:c>
      <x:c r="B79" s="2" t="str">
        <x:v>ISC</x:v>
      </x:c>
      <x:c r="C79" s="2" t="str">
        <x:v>버핏</x:v>
      </x:c>
      <x:c r="D79" s="2" t="str">
        <x:v>부정</x:v>
      </x:c>
      <x:c r="E79" s="17" t="n">
        <x:v>0.61</x:v>
      </x:c>
      <x:c r="F79" s="2" t="str">
        <x:v>partial</x:v>
      </x:c>
      <x:c r="G79" s="11" t="str">
        <x:v>DART 2025 영업이익률 27.3%, 2026H1 영업이익 증가 117.0%와 부채총계/자본 12.0%는 양호하다. 하지만 2025 순이익/기말자본은 10.5%이고 유형·무형 취득 차감현금은 354억원으로 전년 390억원보다 작다. 네이버 현재 PER 52.09배·PBR 6.92배는 현금과 수익의 지속적 급증을 요구한다. 반기 차감현금 303억원이 개선을 뒷받침해도 고객관계의 해자·정상 성장·유지투자 실사 없이 그 기대를 가격에 모두 지불하기 어려워 부정적이다.</x:v>
      </x:c>
      <x:c r="H79" s="11" t="str">
        <x:v>https://dart.fss.or.kr/dsaf001/main.do?rcpNo=20260318000018
https://dart.fss.or.kr/dsaf001/main.do?rcpNo=20260814000114</x:v>
      </x:c>
    </x:row>
    <x:row r="80" ht="92" customHeight="1">
      <x:c r="A80" s="27" t="str">
        <x:v>095340</x:v>
      </x:c>
      <x:c r="B80" s="12" t="str">
        <x:v>ISC</x:v>
      </x:c>
      <x:c r="C80" s="12" t="str">
        <x:v>린치</x:v>
      </x:c>
      <x:c r="D80" s="12" t="str">
        <x:v>유보</x:v>
      </x:c>
      <x:c r="E80" s="18" t="n">
        <x:v>0.6</x:v>
      </x:c>
      <x:c r="F80" s="12" t="str">
        <x:v>partial</x:v>
      </x:c>
      <x:c r="G80" s="14" t="str">
        <x:v>DART의 2025 매출 26.2% 증가와 2026H1 매출 69.4%·영업이익 117.0% 증가는 고성장 후보의 근거다. H1 영업현금 388억원은 순익의 97%이며 취득 차감 후에도 303억원이 남고 부채총계/자본은 0.12배로 낮다. 다만 2025 순익 증가율은 2.6%에 그쳐 최근 가속이 반복되는지는 더 봐야 한다. 9/9 네이버 PER 52.09배는 지속적인 높은 성장을 요구하므로 좋은 현금전환만으로 가격 매력을 확정하지 않고, 실적 기간이 다른 PEG는 유보한다.</x:v>
      </x:c>
      <x:c r="H80" s="14" t="str">
        <x:v>https://dart.fss.or.kr/dsaf001/main.do?rcpNo=20260318000018
https://dart.fss.or.kr/dsaf001/main.do?rcpNo=20260814000114</x:v>
      </x:c>
    </x:row>
    <x:row r="81" ht="92" customHeight="1">
      <x:c r="A81" s="23" t="str">
        <x:v>095340</x:v>
      </x:c>
      <x:c r="B81" s="2" t="str">
        <x:v>ISC</x:v>
      </x:c>
      <x:c r="C81" s="2" t="str">
        <x:v>피셔</x:v>
      </x:c>
      <x:c r="D81" s="2" t="str">
        <x:v>유보</x:v>
      </x:c>
      <x:c r="E81" s="17" t="n">
        <x:v>0.63</x:v>
      </x:c>
      <x:c r="F81" s="2" t="str">
        <x:v>partial</x:v>
      </x:c>
      <x:c r="G81" s="11" t="str">
        <x:v>DART상 2023~25년 매출 CAGR 25.3%와 영업마진 7.66%에서 27.27%로의 확대는 우수하다. 2026H1 매출 69.4% 증가, 마진 31.82%와 CFO 388억원도 긍정적이며 유·무형 취득 후 현금 303억원이 재투자 여력을 보여준다. 다만 네이버 현재 PER 52.09배에는 상당한 장기 성장 기대가 포함돼 좋은 실적만으로 가격 매력을 확정하기 어렵다. R&amp;D 효율·고객 지속성·경영진 실사는 미확인이며 DART와 가격의 기간 차이로 PEG를 미산출한다.</x:v>
      </x:c>
      <x:c r="H81" s="11" t="str">
        <x:v>https://dart.fss.or.kr/dsaf001/main.do?rcpNo=20260318000018
https://dart.fss.or.kr/dsaf001/main.do?rcpNo=20260814000114</x:v>
      </x:c>
    </x:row>
    <x:row r="82" ht="92" customHeight="1">
      <x:c r="A82" s="27" t="str">
        <x:v>101490</x:v>
      </x:c>
      <x:c r="B82" s="12" t="str">
        <x:v>에스앤에스텍</x:v>
      </x:c>
      <x:c r="C82" s="12" t="str">
        <x:v>버핏</x:v>
      </x:c>
      <x:c r="D82" s="12" t="str">
        <x:v>유보</x:v>
      </x:c>
      <x:c r="E82" s="18" t="n">
        <x:v>0.56</x:v>
      </x:c>
      <x:c r="F82" s="12" t="str">
        <x:v>partial</x:v>
      </x:c>
      <x:c r="G82" s="14" t="str">
        <x:v>DART 2025 영업이익률 20.7%와 2026H1 부채총계/자본 23.9%는 양호하다. 그러나 유형·무형 취득 차감현금은 2025년 -176억원, 반기 -79억원으로 현금이 재투자에 묶여 있으며 반기 영업이익은 전년 동기보다 0.8% 감소했다. 네이버 현재 PER 13.80배·PBR 2.55배는 검토할 가격이지만 자본투자가 향후 얼마의 현금을 남기는지 확인해야 한다. 유지·확장 투자의 구분과 장기 고객 유지·해자 자료가 없어 소유주이익을 확정하지 않고 유보한다.</x:v>
      </x:c>
      <x:c r="H82" s="14" t="str">
        <x:v>https://dart.fss.or.kr/dsaf001/main.do?rcpNo=20260316000487
https://dart.fss.or.kr/dsaf001/main.do?rcpNo=20260813000645</x:v>
      </x:c>
    </x:row>
    <x:row r="83" ht="92" customHeight="1">
      <x:c r="A83" s="23" t="str">
        <x:v>101490</x:v>
      </x:c>
      <x:c r="B83" s="2" t="str">
        <x:v>에스앤에스텍</x:v>
      </x:c>
      <x:c r="C83" s="2" t="str">
        <x:v>린치</x:v>
      </x:c>
      <x:c r="D83" s="2" t="str">
        <x:v>유보</x:v>
      </x:c>
      <x:c r="E83" s="17" t="n">
        <x:v>0.61</x:v>
      </x:c>
      <x:c r="F83" s="2" t="str">
        <x:v>partial</x:v>
      </x:c>
      <x:c r="G83" s="11" t="str">
        <x:v>DART의 2025 매출 38.5%·영업이익 70.9% 증가와 달리 2026H1 매출은 8.0% 증가, 영업이익은 0.8% 감소해 성장 속도가 둔화했다. H1 영업현금 229억원은 순익의 86%지만 유형·무형 취득 차감 후 -79억원이고 2025에도 -176억원이었다. 부채총계/자본 0.24배는 완충 근거이나 투자의 이익 기여는 확인되지 않는다. 9/9 네이버 PER 13.80배는 과도하지 않아 보여도 반복 고성장 판단은 유보하며, 기간이 다른 PEG는 계산하지 않는다.</x:v>
      </x:c>
      <x:c r="H83" s="11" t="str">
        <x:v>https://dart.fss.or.kr/dsaf001/main.do?rcpNo=20260316000487
https://dart.fss.or.kr/dsaf001/main.do?rcpNo=20260813000645</x:v>
      </x:c>
    </x:row>
    <x:row r="84" ht="92" customHeight="1">
      <x:c r="A84" s="27" t="str">
        <x:v>101490</x:v>
      </x:c>
      <x:c r="B84" s="12" t="str">
        <x:v>에스앤에스텍</x:v>
      </x:c>
      <x:c r="C84" s="12" t="str">
        <x:v>피셔</x:v>
      </x:c>
      <x:c r="D84" s="12" t="str">
        <x:v>유보</x:v>
      </x:c>
      <x:c r="E84" s="18" t="n">
        <x:v>0.6</x:v>
      </x:c>
      <x:c r="F84" s="12" t="str">
        <x:v>partial</x:v>
      </x:c>
      <x:c r="G84" s="14" t="str">
        <x:v>DART상 2023~25년 매출 CAGR 27.3%와 영업마진 16.66%에서 20.67%로의 개선은 긍정적이다. 그러나 2026H1 매출 증가율은 8.0%로 둔화되고 마진은 전년 동기 21.23%에서 19.49%로 낮아졌다. 유형자산 취득 307억원이 CFO 229억원을 넘어 유·무형 취득 후 현금은 -79억원이며 2025년에도 -176억원이었다. 네이버 현재 PER 13.80배와 투자 회수 불확실성이 맞선다. R&amp;D·고객·경영진 실사는 미확인이고 기간 차이로 PEG는 미산출한다.</x:v>
      </x:c>
      <x:c r="H84" s="14" t="str">
        <x:v>https://dart.fss.or.kr/dsaf001/main.do?rcpNo=20260316000487
https://dart.fss.or.kr/dsaf001/main.do?rcpNo=20260813000645</x:v>
      </x:c>
    </x:row>
    <x:row r="85" ht="92" customHeight="1">
      <x:c r="A85" s="23" t="str">
        <x:v>402340</x:v>
      </x:c>
      <x:c r="B85" s="2" t="str">
        <x:v>SK스퀘어</x:v>
      </x:c>
      <x:c r="C85" s="2" t="str">
        <x:v>버핏</x:v>
      </x:c>
      <x:c r="D85" s="2" t="str">
        <x:v>유보</x:v>
      </x:c>
      <x:c r="E85" s="17" t="n">
        <x:v>0.51</x:v>
      </x:c>
      <x:c r="F85" s="2" t="str">
        <x:v>partial</x:v>
      </x:c>
      <x:c r="G85" s="11" t="str">
        <x:v>DART 2025 영업이익 8.80조원에는 지분법손익 8.93조원이 포함돼 매출 대비 높은 이익률을 본업 해자로 읽을 수 없다. 2026H1에도 지분법손익 27.58조원 대비 영업현금은 2,608억원이다. 반기 부채총계/자본 6.6%는 양호하지만 네이버 현재 PER 4.58배·PBR 2.73배를 연결 이익만으로 판단하기 어렵다. 보유지분의 시가·할인·배당 회수와 자본배분 실적이 없어 지주회사 주주의 소유주이익 및 안전마진을 산정하지 않고 결론을 유보한다.</x:v>
      </x:c>
      <x:c r="H85" s="11" t="str">
        <x:v>https://dart.fss.or.kr/dsaf001/main.do?rcpNo=20260317000830
https://dart.fss.or.kr/dsaf001/main.do?rcpNo=20260814003471</x:v>
      </x:c>
    </x:row>
    <x:row r="86" ht="92" customHeight="1">
      <x:c r="A86" s="27" t="str">
        <x:v>402340</x:v>
      </x:c>
      <x:c r="B86" s="12" t="str">
        <x:v>SK스퀘어</x:v>
      </x:c>
      <x:c r="C86" s="12" t="str">
        <x:v>린치</x:v>
      </x:c>
      <x:c r="D86" s="12" t="str">
        <x:v>유보</x:v>
      </x:c>
      <x:c r="E86" s="18" t="n">
        <x:v>0.4</x:v>
      </x:c>
      <x:c r="F86" s="12" t="str">
        <x:v>insufficient</x:v>
      </x:c>
      <x:c r="G86" s="14" t="str">
        <x:v>DART 원계정의 2026H1 지분법손익 27.58조원이 영업이익 27.51조원을 지배하므로 매출 성장주가 아닌 투자자산형 후보로 본다. 영업수익은 10.4% 줄고 영업현금은 2,608억원으로 순익 27.05조원과 크게 다르다. 부채총계/자본 0.07배는 완충 근거지만 지분법이익을 즉시 사용 가능한 현금으로 보지 않는다. 9/9 네이버 PER 4.58배에도 보유자산 시가·할인·현금 회수 근거가 없어 insufficient_data이며 기간과 이익 성격이 다른 PEG는 적용하지 않는다.</x:v>
      </x:c>
      <x:c r="H86" s="14" t="str">
        <x:v>https://dart.fss.or.kr/dsaf001/main.do?rcpNo=20260317000830
https://dart.fss.or.kr/dsaf001/main.do?rcpNo=20260814003471</x:v>
      </x:c>
    </x:row>
    <x:row r="87" ht="92" customHeight="1">
      <x:c r="A87" s="23" t="str">
        <x:v>402340</x:v>
      </x:c>
      <x:c r="B87" s="2" t="str">
        <x:v>SK스퀘어</x:v>
      </x:c>
      <x:c r="C87" s="2" t="str">
        <x:v>피셔</x:v>
      </x:c>
      <x:c r="D87" s="2" t="str">
        <x:v>유보</x:v>
      </x:c>
      <x:c r="E87" s="17" t="n">
        <x:v>0.54</x:v>
      </x:c>
      <x:c r="F87" s="2" t="str">
        <x:v>partial</x:v>
      </x:c>
      <x:c r="G87" s="11" t="str">
        <x:v>DART상 2026H1 영업수익은 10.4% 감소했지만 영업이익 27.51조원에는 지분법손익 27.58조원이 반영돼 일반 영업마진으로 해석하면 왜곡된다. CFO는 2,608억원이고 유·무형 취득 후 현금 2,388억원이 남지만 투자자산의 현금 배분과 본체 재투자 수익률은 별도로 확인해야 한다. 네이버 현재 PER 4.58배·PBR 2.73배만으로 성장 저평가를 확정하지 않는다. 투자기업별 장기 성장·R&amp;D 효과·경영진 실사는 미확인이며 기간 차이로 PEG도 유보한다.</x:v>
      </x:c>
      <x:c r="H87" s="11" t="str">
        <x:v>https://dart.fss.or.kr/dsaf001/main.do?rcpNo=20260317000830
https://dart.fss.or.kr/dsaf001/main.do?rcpNo=20260814003471</x:v>
      </x:c>
    </x:row>
    <x:row r="88" ht="92" customHeight="1">
      <x:c r="A88" s="27" t="str">
        <x:v>053610</x:v>
      </x:c>
      <x:c r="B88" s="12" t="str">
        <x:v>프로텍</x:v>
      </x:c>
      <x:c r="C88" s="12" t="str">
        <x:v>버핏</x:v>
      </x:c>
      <x:c r="D88" s="12" t="str">
        <x:v>유보</x:v>
      </x:c>
      <x:c r="E88" s="18" t="n">
        <x:v>0.55</x:v>
      </x:c>
      <x:c r="F88" s="12" t="str">
        <x:v>partial</x:v>
      </x:c>
      <x:c r="G88" s="14" t="str">
        <x:v>DART 2025 영업이익률 20.1%와 2026H1 영업이익 증가 202.2%는 개선을 보여준다. 하지만 유형·무형 취득 차감현금은 2025년 -68억원, 반기 -117억원이며 반기 순이익 539억원 대비 영업현금은 -52억원이다. 반기 부채총계/자본 23.7%와 현금 1,384억원은 완충 요인이다. 네이버 현재 PER 7.43배·PBR 1.38배가 낮아도 이익의 반복성과 현금 회수, 유지·확장 투자 구분을 확인하지 못했으므로 저평가나 장기 해자를 확정하지 않는다.</x:v>
      </x:c>
      <x:c r="H88" s="14" t="str">
        <x:v>https://dart.fss.or.kr/dsaf001/main.do?rcpNo=20260319000272
https://dart.fss.or.kr/dsaf001/main.do?rcpNo=20260814000560</x:v>
      </x:c>
    </x:row>
    <x:row r="89" ht="92" customHeight="1">
      <x:c r="A89" s="23" t="str">
        <x:v>053610</x:v>
      </x:c>
      <x:c r="B89" s="2" t="str">
        <x:v>프로텍</x:v>
      </x:c>
      <x:c r="C89" s="2" t="str">
        <x:v>린치</x:v>
      </x:c>
      <x:c r="D89" s="2" t="str">
        <x:v>유보</x:v>
      </x:c>
      <x:c r="E89" s="17" t="n">
        <x:v>0.59</x:v>
      </x:c>
      <x:c r="F89" s="2" t="str">
        <x:v>partial</x:v>
      </x:c>
      <x:c r="G89" s="11" t="str">
        <x:v>DART에서 2025 매출 35.4%, 2026H1 매출 47.3%·영업이익 202.2% 증가로 회복이 강하다. 하지만 H1 순익 539억원에는 원자료상 금융자산처분이익 284억원이 섞여 있고 영업현금은 -52억원이다. 부채총계/자본 0.24배와 현금 1,384억원은 버팀목이나 2025와 H1의 취득 차감 현금흐름이 모두 음수라 반복 성장의 질은 유보한다. 9/9 네이버 PER 7.43배가 정상 이익에 기반한 저평가인지 불명확하며 기간 불일치로 PEG는 계산하지 않는다.</x:v>
      </x:c>
      <x:c r="H89" s="11" t="str">
        <x:v>https://dart.fss.or.kr/dsaf001/main.do?rcpNo=20260319000272
https://dart.fss.or.kr/dsaf001/main.do?rcpNo=20260814000560</x:v>
      </x:c>
    </x:row>
    <x:row r="90" ht="92" customHeight="1">
      <x:c r="A90" s="27" t="str">
        <x:v>053610</x:v>
      </x:c>
      <x:c r="B90" s="12" t="str">
        <x:v>프로텍</x:v>
      </x:c>
      <x:c r="C90" s="12" t="str">
        <x:v>피셔</x:v>
      </x:c>
      <x:c r="D90" s="12" t="str">
        <x:v>유보</x:v>
      </x:c>
      <x:c r="E90" s="18" t="n">
        <x:v>0.61</x:v>
      </x:c>
      <x:c r="F90" s="12" t="str">
        <x:v>partial</x:v>
      </x:c>
      <x:c r="G90" s="14" t="str">
        <x:v>DART상 2023~25년 매출 CAGR 21.5%, 2026H1 매출 증가율 47.3%와 영업마진 13.44%에서 27.57%로의 확대는 긍정적이다. 그러나 2025년 유형자산 취득 359억원으로 유·무형 취득 후 현금이 -68억원이었고, 2026H1에도 CFO -52억원과 해당 현금 -117억원이 이어졌다. 네이버 현재 PER 7.43배가 낮아도 성장의 현금회수를 확인해야 한다. R&amp;D 효율·수주 반복성·경영진 실사는 미확인이며 DART와 가격의 기간 차이로 PEG를 확정하지 않는다.</x:v>
      </x:c>
      <x:c r="H90" s="14" t="str">
        <x:v>https://dart.fss.or.kr/dsaf001/main.do?rcpNo=20260319000272
https://dart.fss.or.kr/dsaf001/main.do?rcpNo=20260814000560</x:v>
      </x:c>
    </x:row>
    <x:row r="91" ht="92" customHeight="1">
      <x:c r="A91" s="23" t="str">
        <x:v>096770</x:v>
      </x:c>
      <x:c r="B91" s="2" t="str">
        <x:v>SK이노베이션</x:v>
      </x:c>
      <x:c r="C91" s="2" t="str">
        <x:v>버핏</x:v>
      </x:c>
      <x:c r="D91" s="2" t="str">
        <x:v>부정</x:v>
      </x:c>
      <x:c r="E91" s="17" t="n">
        <x:v>0.74</x:v>
      </x:c>
      <x:c r="F91" s="2" t="str">
        <x:v>partial</x:v>
      </x:c>
      <x:c r="G91" s="11" t="str">
        <x:v>DART 2024~2025 순손실은 2.37조·5.44조원이고, 2023~2025 유형·무형 취득 차감현금은 각각 -6.13조·-7.98조·-3.37조원이다. 2026H1 영업이익 5.65조원과 차감현금 4,744억원으로 회복했지만 부채총계/자본은 169.7%다. 네이버 현재 PER은 결측이며 PBR 1.00배만으로 싼 가격을 판단하지 않는다. 유지·확장 투자와 반복 가능한 수익이 미검증인 상태에서 한 반기의 회복보다 누적 현금 소요와 재무 부담을 크게 본다.</x:v>
      </x:c>
      <x:c r="H91" s="11" t="str">
        <x:v>https://dart.fss.or.kr/dsaf001/main.do?rcpNo=20260316000827
https://dart.fss.or.kr/dsaf001/main.do?rcpNo=20260814002500</x:v>
      </x:c>
    </x:row>
    <x:row r="92" ht="92" customHeight="1">
      <x:c r="A92" s="27" t="str">
        <x:v>096770</x:v>
      </x:c>
      <x:c r="B92" s="12" t="str">
        <x:v>SK이노베이션</x:v>
      </x:c>
      <x:c r="C92" s="12" t="str">
        <x:v>린치</x:v>
      </x:c>
      <x:c r="D92" s="12" t="str">
        <x:v>유보</x:v>
      </x:c>
      <x:c r="E92" s="18" t="n">
        <x:v>0.52</x:v>
      </x:c>
      <x:c r="F92" s="12" t="str">
        <x:v>partial</x:v>
      </x:c>
      <x:c r="G92" s="14" t="str">
        <x:v>DART상 2024·2025 순손실 뒤 2026H1 영업이익 5.65조원·순익 9,696억원으로 회복했지만 아직 흑자전환형이다. H1 영업현금 2.51조원과 취득 차감 후 4,744억원은 개선 근거이나 2023~2025 해당 현금흐름은 모두 음수였다. 부채총계/자본 1.70배와 큰 투자 부담을 고려하면 한 반기의 호전을 안정 성장으로 보기 어렵다. 9/9 네이버 PER는 누락이고 PBR 1.00배만 있어 적정 성장 가격을 확정할 수 없으며 손실 기저의 PEG도 적용하지 않는다.</x:v>
      </x:c>
      <x:c r="H92" s="14" t="str">
        <x:v>https://dart.fss.or.kr/dsaf001/main.do?rcpNo=20260316000827
https://dart.fss.or.kr/dsaf001/main.do?rcpNo=20260814002500</x:v>
      </x:c>
    </x:row>
    <x:row r="93" ht="92" customHeight="1">
      <x:c r="A93" s="23" t="str">
        <x:v>096770</x:v>
      </x:c>
      <x:c r="B93" s="2" t="str">
        <x:v>SK이노베이션</x:v>
      </x:c>
      <x:c r="C93" s="2" t="str">
        <x:v>피셔</x:v>
      </x:c>
      <x:c r="D93" s="2" t="str">
        <x:v>유보</x:v>
      </x:c>
      <x:c r="E93" s="17" t="n">
        <x:v>0.56</x:v>
      </x:c>
      <x:c r="F93" s="2" t="str">
        <x:v>partial</x:v>
      </x:c>
      <x:c r="G93" s="11" t="str">
        <x:v>DART상 2023~25년 매출 CAGR은 2.3%, 2025년 영업마진은 0.56%였으며 유·무형 취득 후 현금은 3년 연속 음수였다. 2026H1에는 매출 31.5% 증가, 마진 10.57%와 해당 현금 4,744억원으로 회복돼 변화는 긍정적이나 지속성 검증은 필요하다. 반기 유형자산 취득도 1.81조원으로 자본 요구가 크다. 네이버 현재 PER는 결측, PBR는 1.00배이며 이를 성장 저평가로 단정하지 않는다. R&amp;D·투자 회수율·경영진 실사와 동일기간 PEG는 미확인이다.</x:v>
      </x:c>
      <x:c r="H93" s="11" t="str">
        <x:v>https://dart.fss.or.kr/dsaf001/main.do?rcpNo=20260316000827
https://dart.fss.or.kr/dsaf001/main.do?rcpNo=20260814002500</x:v>
      </x:c>
    </x:row>
    <x:row r="94" ht="92" customHeight="1">
      <x:c r="A94" s="27" t="str">
        <x:v>326030</x:v>
      </x:c>
      <x:c r="B94" s="12" t="str">
        <x:v>SK바이오팜</x:v>
      </x:c>
      <x:c r="C94" s="12" t="str">
        <x:v>버핏</x:v>
      </x:c>
      <x:c r="D94" s="12" t="str">
        <x:v>유보</x:v>
      </x:c>
      <x:c r="E94" s="18" t="n">
        <x:v>0.57</x:v>
      </x:c>
      <x:c r="F94" s="12" t="str">
        <x:v>partial</x:v>
      </x:c>
      <x:c r="G94" s="14" t="str">
        <x:v>DART 2023 영업손실 375억원에서 2025 영업이익 2,039억원으로 전환했고 유형·무형 취득 차감현금도 2024년 815억원, 2025년 1,468억원으로 증가했다. 2026H1 영업이익 증가 113.4%, 차감현금 922억원과 부채총계/자본 38.9%는 긍정적이다. 다만 네이버 현재 PER 16.37배·PBR 6.42배를 최근 흑자만으로 저평가라 보긴 어렵다. 제품 집중·권리의 지속성·유지 연구개발과 정상 수익력이 확인되지 않아 장기 해자 및 안전마진 판단을 유보한다.</x:v>
      </x:c>
      <x:c r="H94" s="14" t="str">
        <x:v>https://dart.fss.or.kr/dsaf001/main.do?rcpNo=20260318000773
https://dart.fss.or.kr/dsaf001/main.do?rcpNo=20260814002274</x:v>
      </x:c>
    </x:row>
    <x:row r="95" ht="92" customHeight="1">
      <x:c r="A95" s="23" t="str">
        <x:v>326030</x:v>
      </x:c>
      <x:c r="B95" s="2" t="str">
        <x:v>SK바이오팜</x:v>
      </x:c>
      <x:c r="C95" s="2" t="str">
        <x:v>린치</x:v>
      </x:c>
      <x:c r="D95" s="2" t="str">
        <x:v>긍정</x:v>
      </x:c>
      <x:c r="E95" s="17" t="n">
        <x:v>0.64</x:v>
      </x:c>
      <x:c r="F95" s="2" t="str">
        <x:v>partial</x:v>
      </x:c>
      <x:c r="G95" s="11" t="str">
        <x:v>DART상 2023 영업적자에서 2024·2025 흑자를 이어가고 2026H1 매출 48.2%·영업이익 113.4% 증가해 흑자전환 뒤 성장형으로 옮겨가는 후보로 본다. H1 영업현금 961억원, 유형·무형 취득 차감 후 922억원과 부채총계/자본 0.39배는 개선 근거다. 다만 영업현금은 순익의 51%이고 매출 구성별 반복성·영업 외 이익의 지속은 미확인이다. 9/9 네이버 PER 16.37배와 개선 조합은 우호적이나 기간이 달라 PEG는 확정하지 않는다.</x:v>
      </x:c>
      <x:c r="H95" s="11" t="str">
        <x:v>https://dart.fss.or.kr/dsaf001/main.do?rcpNo=20260318000773
https://dart.fss.or.kr/dsaf001/main.do?rcpNo=20260814002274</x:v>
      </x:c>
    </x:row>
    <x:row r="96" ht="92" customHeight="1">
      <x:c r="A96" s="27" t="str">
        <x:v>326030</x:v>
      </x:c>
      <x:c r="B96" s="12" t="str">
        <x:v>SK바이오팜</x:v>
      </x:c>
      <x:c r="C96" s="12" t="str">
        <x:v>피셔</x:v>
      </x:c>
      <x:c r="D96" s="12" t="str">
        <x:v>긍정</x:v>
      </x:c>
      <x:c r="E96" s="18" t="n">
        <x:v>0.66</x:v>
      </x:c>
      <x:c r="F96" s="12" t="str">
        <x:v>partial</x:v>
      </x:c>
      <x:c r="G96" s="14" t="str">
        <x:v>DART상 2023~25년 매출 CAGR 41.1%와 영업적자에서 2025년 마진 28.86%로의 전환은 긍정적이다. 2026H1에도 매출 48.2% 증가와 마진 39.31%로 개선됐고 유·무형 취득 후 현금 922억원을 창출했다. 다만 CFO 961억원은 순이익 1,878억원의 약 절반이며 실제 R&amp;D 비용·개발 성공 가능성·매출 집중도는 확인되지 않았다. 네이버 현재 PER 16.37배와 DART 기간이 달라 PEG는 미산출하며 고객·경영진 실사도 미완료다.</x:v>
      </x:c>
      <x:c r="H96" s="14" t="str">
        <x:v>https://dart.fss.or.kr/dsaf001/main.do?rcpNo=20260318000773
https://dart.fss.or.kr/dsaf001/main.do?rcpNo=20260814002274</x:v>
      </x:c>
    </x:row>
    <x:row r="97" ht="24" customHeight="1">
      <x:c r="A97" s="23"/>
      <x:c r="B97" s="2"/>
      <x:c r="C97" s="2"/>
      <x:c r="D97" s="2"/>
      <x:c r="E97" s="2"/>
      <x:c r="F97" s="2"/>
      <x:c r="G97" s="2"/>
      <x:c r="H97" s="2"/>
    </x:row>
    <x:row r="98" ht="24" customHeight="1">
      <x:c r="A98" s="23"/>
      <x:c r="B98" s="2"/>
      <x:c r="C98" s="2"/>
      <x:c r="D98" s="2"/>
      <x:c r="E98" s="2"/>
      <x:c r="F98" s="2"/>
      <x:c r="G98" s="2"/>
      <x:c r="H98" s="2"/>
    </x:row>
    <x:row r="99">
      <x:c r="A99" s="29"/>
    </x:row>
    <x:row r="100">
      <x:c r="A100" s="29"/>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5" hidden="0" customWidth="1"/>
    <x:col min="2" max="2" width="2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66" hidden="0" customWidth="1"/>
    <x:col min="13" max="13" width="66" hidden="0" customWidth="1"/>
  </x:cols>
  <x:sheetData>
    <x:row r="1" ht="24" customHeight="1">
      <x:c r="A1" s="23"/>
      <x:c r="B1" s="2"/>
      <x:c r="C1" s="2"/>
      <x:c r="D1" s="2"/>
      <x:c r="E1" s="2"/>
      <x:c r="F1" s="2"/>
      <x:c r="G1" s="2"/>
      <x:c r="H1" s="2"/>
      <x:c r="I1" s="2"/>
      <x:c r="J1" s="2"/>
      <x:c r="K1" s="2"/>
      <x:c r="L1" s="2"/>
      <x:c r="M1" s="2"/>
    </x:row>
    <x:row r="2" ht="30" customHeight="1">
      <x:c r="A2" s="24" t="str">
        <x:v>재무 입력과 출처</x:v>
      </x:c>
      <x:c r="B2" s="2"/>
      <x:c r="C2" s="2"/>
      <x:c r="D2" s="2"/>
      <x:c r="E2" s="2"/>
      <x:c r="F2" s="2"/>
      <x:c r="G2" s="2"/>
      <x:c r="H2" s="2"/>
      <x:c r="I2" s="2"/>
      <x:c r="J2" s="2"/>
      <x:c r="K2" s="2"/>
      <x:c r="L2" s="2"/>
      <x:c r="M2" s="2"/>
    </x:row>
    <x:row r="3" ht="24" customHeight="1">
      <x:c r="A3" s="23"/>
      <x:c r="B3" s="2"/>
      <x:c r="C3" s="2"/>
      <x:c r="D3" s="2"/>
      <x:c r="E3" s="2"/>
      <x:c r="F3" s="2"/>
      <x:c r="G3" s="2"/>
      <x:c r="H3" s="2"/>
      <x:c r="I3" s="2"/>
      <x:c r="J3" s="2"/>
      <x:c r="K3" s="2"/>
      <x:c r="L3" s="2"/>
      <x:c r="M3" s="2"/>
    </x:row>
    <x:row r="4" ht="24" customHeight="1">
      <x:c r="A4" s="23" t="str">
        <x:v>금액은 십억원(KRW). 연결 우선·별도 대체. 2025 연간 공시 수치와 현재 PER은 기간이 서로 다를 수 있다.</x:v>
      </x:c>
      <x:c r="B4" s="2"/>
      <x:c r="C4" s="2"/>
      <x:c r="D4" s="2"/>
      <x:c r="E4" s="2"/>
      <x:c r="F4" s="2"/>
      <x:c r="G4" s="2"/>
      <x:c r="H4" s="2"/>
      <x:c r="I4" s="2"/>
      <x:c r="J4" s="2"/>
      <x:c r="K4" s="2"/>
      <x:c r="L4" s="2"/>
      <x:c r="M4" s="2"/>
    </x:row>
    <x:row r="5" ht="24" customHeight="1">
      <x:c r="A5" s="23" t="str">
        <x:v>n.a.는 누락 또는 모호한 계정이다. FCF는 CFO에서 유형·무형자산 취득액을 차감한 단순 계산이다.</x:v>
      </x:c>
      <x:c r="B5" s="2"/>
      <x:c r="C5" s="2"/>
      <x:c r="D5" s="2"/>
      <x:c r="E5" s="2"/>
      <x:c r="F5" s="2"/>
      <x:c r="G5" s="2"/>
      <x:c r="H5" s="2"/>
      <x:c r="I5" s="2"/>
      <x:c r="J5" s="2"/>
      <x:c r="K5" s="2"/>
      <x:c r="L5" s="2"/>
      <x:c r="M5" s="2"/>
    </x:row>
    <x:row r="6" ht="24" customHeight="1">
      <x:c r="A6" s="23" t="str">
        <x:v>지주·보험회사의 이익률은 일반기업과 직접 비교 불가. 반기 공시 링크는 투자자 근거 시트에 수록.</x:v>
      </x:c>
      <x:c r="B6" s="2"/>
      <x:c r="C6" s="2"/>
      <x:c r="D6" s="2"/>
      <x:c r="E6" s="2"/>
      <x:c r="F6" s="2"/>
      <x:c r="G6" s="2"/>
      <x:c r="H6" s="2"/>
      <x:c r="I6" s="2"/>
      <x:c r="J6" s="2"/>
      <x:c r="K6" s="2"/>
      <x:c r="L6" s="2"/>
      <x:c r="M6" s="2"/>
    </x:row>
    <x:row r="7" ht="30" customHeight="1">
      <x:c r="A7" s="26" t="str">
        <x:v>종목코드</x:v>
      </x:c>
      <x:c r="B7" s="8" t="str">
        <x:v>종목명</x:v>
      </x:c>
      <x:c r="C7" s="8" t="str">
        <x:v>PER</x:v>
      </x:c>
      <x:c r="D7" s="8" t="str">
        <x:v>PBR</x:v>
      </x:c>
      <x:c r="E7" s="8" t="str">
        <x:v>2025 매출</x:v>
      </x:c>
      <x:c r="F7" s="8" t="str">
        <x:v>영업이익률</x:v>
      </x:c>
      <x:c r="G7" s="8" t="str">
        <x:v>CFO</x:v>
      </x:c>
      <x:c r="H7" s="8" t="str">
        <x:v>FCF</x:v>
      </x:c>
      <x:c r="I7" s="8" t="str">
        <x:v>2026H1 매출</x:v>
      </x:c>
      <x:c r="J7" s="8" t="str">
        <x:v>H1 영업이익률</x:v>
      </x:c>
      <x:c r="K7" s="8" t="str">
        <x:v>회계 기준</x:v>
      </x:c>
      <x:c r="L7" s="8" t="str">
        <x:v>DART 공시</x:v>
      </x:c>
      <x:c r="M7" s="8" t="str">
        <x:v>밸류에이션</x:v>
      </x:c>
    </x:row>
    <x:row r="8" ht="32" customHeight="1">
      <x:c r="A8" s="23" t="str">
        <x:v>462870</x:v>
      </x:c>
      <x:c r="B8" s="2" t="str">
        <x:v>시프트업</x:v>
      </x:c>
      <x:c r="C8" s="19" t="n">
        <x:v>10.08</x:v>
      </x:c>
      <x:c r="D8" s="19" t="n">
        <x:v>1.83</x:v>
      </x:c>
      <x:c r="E8" s="19" t="n">
        <x:v>294.545937439</x:v>
      </x:c>
      <x:c r="F8" s="5" t="n">
        <x:v>0.6159231362495751</x:v>
      </x:c>
      <x:c r="G8" s="20" t="n">
        <x:v>157.169089142</x:v>
      </x:c>
      <x:c r="H8" s="20" t="n">
        <x:v>154.557985609</x:v>
      </x:c>
      <x:c r="I8" s="20" t="n">
        <x:v>103.033121188</x:v>
      </x:c>
      <x:c r="J8" s="5" t="n">
        <x:v>0.48162575296010257</x:v>
      </x:c>
      <x:c r="K8" s="2" t="str">
        <x:v>CFS</x:v>
      </x:c>
      <x:c r="L8" s="2" t="str">
        <x:v>https://dart.fss.or.kr/dsaf001/main.do?rcpNo=20260318001672</x:v>
      </x:c>
      <x:c r="M8" s="2" t="str">
        <x:v>https://m.stock.naver.com/stock/462870/total</x:v>
      </x:c>
    </x:row>
    <x:row r="9" ht="32" customHeight="1">
      <x:c r="A9" s="27" t="str">
        <x:v>257720</x:v>
      </x:c>
      <x:c r="B9" s="12" t="str">
        <x:v>실리콘투</x:v>
      </x:c>
      <x:c r="C9" s="21" t="n">
        <x:v>13.24</x:v>
      </x:c>
      <x:c r="D9" s="21" t="n">
        <x:v>4.24</x:v>
      </x:c>
      <x:c r="E9" s="21" t="n">
        <x:v>1116.287364104</x:v>
      </x:c>
      <x:c r="F9" s="13" t="n">
        <x:v>0.18396871492121203</x:v>
      </x:c>
      <x:c r="G9" s="22" t="n">
        <x:v>1.140985003</x:v>
      </x:c>
      <x:c r="H9" s="22" t="n">
        <x:v>-5.898003156</x:v>
      </x:c>
      <x:c r="I9" s="22" t="n">
        <x:v>749.153243029</x:v>
      </x:c>
      <x:c r="J9" s="13" t="n">
        <x:v>0.19690221252941947</x:v>
      </x:c>
      <x:c r="K9" s="12" t="str">
        <x:v>CFS</x:v>
      </x:c>
      <x:c r="L9" s="12" t="str">
        <x:v>https://dart.fss.or.kr/dsaf001/main.do?rcpNo=20260320001024</x:v>
      </x:c>
      <x:c r="M9" s="12" t="str">
        <x:v>https://m.stock.naver.com/stock/257720/total</x:v>
      </x:c>
    </x:row>
    <x:row r="10" ht="32" customHeight="1">
      <x:c r="A10" s="23" t="str">
        <x:v>003230</x:v>
      </x:c>
      <x:c r="B10" s="2" t="str">
        <x:v>삼양식품</x:v>
      </x:c>
      <x:c r="C10" s="19" t="n">
        <x:v>19.54</x:v>
      </x:c>
      <x:c r="D10" s="19" t="n">
        <x:v>6.23</x:v>
      </x:c>
      <x:c r="E10" s="19" t="n">
        <x:v>2351.785163786</x:v>
      </x:c>
      <x:c r="F10" s="5" t="n">
        <x:v>0.2228895794274593</x:v>
      </x:c>
      <x:c r="G10" s="20" t="n">
        <x:v>309.287213625</x:v>
      </x:c>
      <x:c r="H10" s="20" t="n">
        <x:v>-152.085152066</x:v>
      </x:c>
      <x:c r="I10" s="20" t="n">
        <x:v>1484.714694859</x:v>
      </x:c>
      <x:c r="J10" s="5" t="n">
        <x:v>0.23796740101542094</x:v>
      </x:c>
      <x:c r="K10" s="2" t="str">
        <x:v>CFS</x:v>
      </x:c>
      <x:c r="L10" s="2" t="str">
        <x:v>https://dart.fss.or.kr/dsaf001/main.do?rcpNo=20260318001082</x:v>
      </x:c>
      <x:c r="M10" s="2" t="str">
        <x:v>https://m.stock.naver.com/stock/003230/total</x:v>
      </x:c>
    </x:row>
    <x:row r="11" ht="32" customHeight="1">
      <x:c r="A11" s="27" t="str">
        <x:v>036830</x:v>
      </x:c>
      <x:c r="B11" s="12" t="str">
        <x:v>솔브레인홀딩스</x:v>
      </x:c>
      <x:c r="C11" s="21" t="n">
        <x:v>1.56</x:v>
      </x:c>
      <x:c r="D11" s="21" t="n">
        <x:v>0.47</x:v>
      </x:c>
      <x:c r="E11" s="21" t="n">
        <x:v>556.646781397</x:v>
      </x:c>
      <x:c r="F11" s="13" t="n">
        <x:v>0.015916581618894005</x:v>
      </x:c>
      <x:c r="G11" s="22" t="n">
        <x:v>46.552322856</x:v>
      </x:c>
      <x:c r="H11" s="22" t="n">
        <x:v>12.100512047</x:v>
      </x:c>
      <x:c r="I11" s="22" t="n">
        <x:v>385.113410604</x:v>
      </x:c>
      <x:c r="J11" s="13" t="n">
        <x:v>0.086685457584149</x:v>
      </x:c>
      <x:c r="K11" s="12" t="str">
        <x:v>CFS</x:v>
      </x:c>
      <x:c r="L11" s="12" t="str">
        <x:v>https://dart.fss.or.kr/dsaf001/main.do?rcpNo=20260318001251</x:v>
      </x:c>
      <x:c r="M11" s="12" t="str">
        <x:v>https://m.stock.naver.com/stock/036830/total</x:v>
      </x:c>
    </x:row>
    <x:row r="12" ht="32" customHeight="1">
      <x:c r="A12" s="23" t="str">
        <x:v>062040</x:v>
      </x:c>
      <x:c r="B12" s="2" t="str">
        <x:v>산일전기</x:v>
      </x:c>
      <x:c r="C12" s="19" t="n">
        <x:v>35.62</x:v>
      </x:c>
      <x:c r="D12" s="19" t="n">
        <x:v>9.7</x:v>
      </x:c>
      <x:c r="E12" s="19" t="n">
        <x:v>501.94622088</x:v>
      </x:c>
      <x:c r="F12" s="5" t="n">
        <x:v>0.35588310891119546</x:v>
      </x:c>
      <x:c r="G12" s="20" t="n">
        <x:v>115.453741409</x:v>
      </x:c>
      <x:c r="H12" s="20" t="n">
        <x:v>98.993177823</x:v>
      </x:c>
      <x:c r="I12" s="20" t="n">
        <x:v>314.501779231</x:v>
      </x:c>
      <x:c r="J12" s="5" t="n">
        <x:v>0.3736577265487744</x:v>
      </x:c>
      <x:c r="K12" s="2" t="str">
        <x:v>CFS</x:v>
      </x:c>
      <x:c r="L12" s="2" t="str">
        <x:v>https://dart.fss.or.kr/dsaf001/main.do?rcpNo=20260403003697</x:v>
      </x:c>
      <x:c r="M12" s="2" t="str">
        <x:v>https://m.stock.naver.com/stock/062040/total</x:v>
      </x:c>
    </x:row>
    <x:row r="13" ht="32" customHeight="1">
      <x:c r="A13" s="27" t="str">
        <x:v>000660</x:v>
      </x:c>
      <x:c r="B13" s="12" t="str">
        <x:v>SK하이닉스</x:v>
      </x:c>
      <x:c r="C13" s="21" t="n">
        <x:v>8.27</x:v>
      </x:c>
      <x:c r="D13" s="21" t="n">
        <x:v>5.01</x:v>
      </x:c>
      <x:c r="E13" s="21" t="n">
        <x:v>97146.675</x:v>
      </x:c>
      <x:c r="F13" s="13" t="n">
        <x:v>0.4859283037736495</x:v>
      </x:c>
      <x:c r="G13" s="22" t="n">
        <x:v>53373.126</x:v>
      </x:c>
      <x:c r="H13" s="22" t="n">
        <x:v>24793.783</x:v>
      </x:c>
      <x:c r="I13" s="22" t="n">
        <x:v>131895.033</x:v>
      </x:c>
      <x:c r="J13" s="13" t="n">
        <x:v>0.7441742783445074</x:v>
      </x:c>
      <x:c r="K13" s="12" t="str">
        <x:v>CFS</x:v>
      </x:c>
      <x:c r="L13" s="12" t="str">
        <x:v>https://dart.fss.or.kr/dsaf001/main.do?rcpNo=20260317000635</x:v>
      </x:c>
      <x:c r="M13" s="12" t="str">
        <x:v>https://m.stock.naver.com/stock/000660/total</x:v>
      </x:c>
    </x:row>
    <x:row r="14" ht="32" customHeight="1">
      <x:c r="A14" s="23" t="str">
        <x:v>214450</x:v>
      </x:c>
      <x:c r="B14" s="2" t="str">
        <x:v>파마리서치</x:v>
      </x:c>
      <x:c r="C14" s="19" t="n">
        <x:v>22.8</x:v>
      </x:c>
      <x:c r="D14" s="19" t="n">
        <x:v>5.62</x:v>
      </x:c>
      <x:c r="E14" s="19" t="n">
        <x:v>536.289118812</x:v>
      </x:c>
      <x:c r="F14" s="5" t="n">
        <x:v>0.3997764471633033</x:v>
      </x:c>
      <x:c r="G14" s="20" t="n">
        <x:v>183.162279104</x:v>
      </x:c>
      <x:c r="H14" s="20" t="n">
        <x:v>147.380216184</x:v>
      </x:c>
      <x:c r="I14" s="20" t="n">
        <x:v>324.805059793</x:v>
      </x:c>
      <x:c r="J14" s="5" t="n">
        <x:v>0.38103471920318666</x:v>
      </x:c>
      <x:c r="K14" s="2" t="str">
        <x:v>CFS</x:v>
      </x:c>
      <x:c r="L14" s="2" t="str">
        <x:v>https://dart.fss.or.kr/dsaf001/main.do?rcpNo=20260319001417</x:v>
      </x:c>
      <x:c r="M14" s="2" t="str">
        <x:v>https://m.stock.naver.com/stock/214450/total</x:v>
      </x:c>
    </x:row>
    <x:row r="15" ht="32" customHeight="1">
      <x:c r="A15" s="27" t="str">
        <x:v>425420</x:v>
      </x:c>
      <x:c r="B15" s="12" t="str">
        <x:v>티에프이</x:v>
      </x:c>
      <x:c r="C15" s="21" t="n">
        <x:v>29.78</x:v>
      </x:c>
      <x:c r="D15" s="21" t="n">
        <x:v>4.35</x:v>
      </x:c>
      <x:c r="E15" s="21" t="n">
        <x:v>111.742413458</x:v>
      </x:c>
      <x:c r="F15" s="13" t="n">
        <x:v>0.1705315903272693</x:v>
      </x:c>
      <x:c r="G15" s="22" t="n">
        <x:v>12.808751016</x:v>
      </x:c>
      <x:c r="H15" s="22" t="n">
        <x:v>-2.643442714</x:v>
      </x:c>
      <x:c r="I15" s="22" t="n">
        <x:v>65.925532361</x:v>
      </x:c>
      <x:c r="J15" s="13" t="n">
        <x:v>0.14281555243943403</x:v>
      </x:c>
      <x:c r="K15" s="12" t="str">
        <x:v>CFS</x:v>
      </x:c>
      <x:c r="L15" s="12" t="str">
        <x:v>https://dart.fss.or.kr/dsaf001/main.do?rcpNo=20260323000809</x:v>
      </x:c>
      <x:c r="M15" s="12" t="str">
        <x:v>https://m.stock.naver.com/stock/425420/total</x:v>
      </x:c>
    </x:row>
    <x:row r="16" ht="32" customHeight="1">
      <x:c r="A16" s="23" t="str">
        <x:v>008930</x:v>
      </x:c>
      <x:c r="B16" s="2" t="str">
        <x:v>한미사이언스</x:v>
      </x:c>
      <x:c r="C16" s="19" t="n">
        <x:v>25.37</x:v>
      </x:c>
      <x:c r="D16" s="19" t="n">
        <x:v>3.58</x:v>
      </x:c>
      <x:c r="E16" s="19" t="n">
        <x:v>1356.957532846</x:v>
      </x:c>
      <x:c r="F16" s="5" t="n">
        <x:v>0.10223397945478964</x:v>
      </x:c>
      <x:c r="G16" s="20" t="n">
        <x:v>47.658093135</x:v>
      </x:c>
      <x:c r="H16" s="20" t="str">
        <x:v>n.a.</x:v>
      </x:c>
      <x:c r="I16" s="20" t="n">
        <x:v>721.55934936</x:v>
      </x:c>
      <x:c r="J16" s="5" t="n">
        <x:v>0.12847207276466188</x:v>
      </x:c>
      <x:c r="K16" s="2" t="str">
        <x:v>CFS</x:v>
      </x:c>
      <x:c r="L16" s="2" t="str">
        <x:v>https://dart.fss.or.kr/dsaf001/main.do?rcpNo=20260320001158</x:v>
      </x:c>
      <x:c r="M16" s="2" t="str">
        <x:v>https://m.stock.naver.com/stock/008930/total</x:v>
      </x:c>
    </x:row>
    <x:row r="17" ht="32" customHeight="1">
      <x:c r="A17" s="27" t="str">
        <x:v>128940</x:v>
      </x:c>
      <x:c r="B17" s="12" t="str">
        <x:v>한미약품</x:v>
      </x:c>
      <x:c r="C17" s="21" t="n">
        <x:v>29.19</x:v>
      </x:c>
      <x:c r="D17" s="21" t="n">
        <x:v>4.47</x:v>
      </x:c>
      <x:c r="E17" s="21" t="n">
        <x:v>1547.531098763</x:v>
      </x:c>
      <x:c r="F17" s="13" t="n">
        <x:v>0.166587340565284</x:v>
      </x:c>
      <x:c r="G17" s="22" t="n">
        <x:v>173.072329954</x:v>
      </x:c>
      <x:c r="H17" s="22" t="n">
        <x:v>96.525301024</x:v>
      </x:c>
      <x:c r="I17" s="22" t="n">
        <x:v>860.172675129</x:v>
      </x:c>
      <x:c r="J17" s="13" t="n">
        <x:v>0.21477318460423572</x:v>
      </x:c>
      <x:c r="K17" s="12" t="str">
        <x:v>CFS</x:v>
      </x:c>
      <x:c r="L17" s="12" t="str">
        <x:v>https://dart.fss.or.kr/dsaf001/main.do?rcpNo=20260320001130</x:v>
      </x:c>
      <x:c r="M17" s="12" t="str">
        <x:v>https://m.stock.naver.com/stock/128940/total</x:v>
      </x:c>
    </x:row>
    <x:row r="18" ht="32" customHeight="1">
      <x:c r="A18" s="23" t="str">
        <x:v>007660</x:v>
      </x:c>
      <x:c r="B18" s="2" t="str">
        <x:v>이수페타시스</x:v>
      </x:c>
      <x:c r="C18" s="19" t="n">
        <x:v>41.02</x:v>
      </x:c>
      <x:c r="D18" s="19" t="n">
        <x:v>9.6</x:v>
      </x:c>
      <x:c r="E18" s="19" t="n">
        <x:v>1088.025119176</x:v>
      </x:c>
      <x:c r="F18" s="5" t="n">
        <x:v>0.1881615854209737</x:v>
      </x:c>
      <x:c r="G18" s="20" t="n">
        <x:v>168.752524669</x:v>
      </x:c>
      <x:c r="H18" s="20" t="n">
        <x:v>13.644981602</x:v>
      </x:c>
      <x:c r="I18" s="20" t="n">
        <x:v>720.170287342</x:v>
      </x:c>
      <x:c r="J18" s="5" t="n">
        <x:v>0.20034874323477989</x:v>
      </x:c>
      <x:c r="K18" s="2" t="str">
        <x:v>CFS</x:v>
      </x:c>
      <x:c r="L18" s="2" t="str">
        <x:v>https://dart.fss.or.kr/dsaf001/main.do?rcpNo=20260323000847</x:v>
      </x:c>
      <x:c r="M18" s="2" t="str">
        <x:v>https://m.stock.naver.com/stock/007660/total</x:v>
      </x:c>
    </x:row>
    <x:row r="19" ht="32" customHeight="1">
      <x:c r="A19" s="27" t="str">
        <x:v>327260</x:v>
      </x:c>
      <x:c r="B19" s="12" t="str">
        <x:v>RF머트리얼즈</x:v>
      </x:c>
      <x:c r="C19" s="21" t="n">
        <x:v>61.13</x:v>
      </x:c>
      <x:c r="D19" s="21" t="n">
        <x:v>8.81</x:v>
      </x:c>
      <x:c r="E19" s="21" t="n">
        <x:v>64.084381231</x:v>
      </x:c>
      <x:c r="F19" s="13" t="n">
        <x:v>0.11500915579465276</x:v>
      </x:c>
      <x:c r="G19" s="22" t="n">
        <x:v>7.160653825</x:v>
      </x:c>
      <x:c r="H19" s="22" t="n">
        <x:v>4.249933764</x:v>
      </x:c>
      <x:c r="I19" s="22" t="n">
        <x:v>45.08332151</x:v>
      </x:c>
      <x:c r="J19" s="13" t="n">
        <x:v>0.18822833586291365</x:v>
      </x:c>
      <x:c r="K19" s="12" t="str">
        <x:v>CFS</x:v>
      </x:c>
      <x:c r="L19" s="12" t="str">
        <x:v>https://dart.fss.or.kr/dsaf001/main.do?rcpNo=20260318001224</x:v>
      </x:c>
      <x:c r="M19" s="12" t="str">
        <x:v>https://m.stock.naver.com/stock/327260/total</x:v>
      </x:c>
    </x:row>
    <x:row r="20" ht="32" customHeight="1">
      <x:c r="A20" s="23" t="str">
        <x:v>039200</x:v>
      </x:c>
      <x:c r="B20" s="2" t="str">
        <x:v>오스코텍</x:v>
      </x:c>
      <x:c r="C20" s="19" t="n">
        <x:v>14.15</x:v>
      </x:c>
      <x:c r="D20" s="19" t="n">
        <x:v>6.17</x:v>
      </x:c>
      <x:c r="E20" s="19" t="n">
        <x:v>99.838669222</x:v>
      </x:c>
      <x:c r="F20" s="5" t="n">
        <x:v>0.5216549169860488</x:v>
      </x:c>
      <x:c r="G20" s="20" t="n">
        <x:v>8.302368829</x:v>
      </x:c>
      <x:c r="H20" s="20" t="str">
        <x:v>n.a.</x:v>
      </x:c>
      <x:c r="I20" s="20" t="n">
        <x:v>56.296750372</x:v>
      </x:c>
      <x:c r="J20" s="5" t="n">
        <x:v>0.5094837693023494</x:v>
      </x:c>
      <x:c r="K20" s="2" t="str">
        <x:v>CFS</x:v>
      </x:c>
      <x:c r="L20" s="2" t="str">
        <x:v>https://dart.fss.or.kr/dsaf001/main.do?rcpNo=20260319001005</x:v>
      </x:c>
      <x:c r="M20" s="2" t="str">
        <x:v>https://m.stock.naver.com/stock/039200/total</x:v>
      </x:c>
    </x:row>
    <x:row r="21" ht="32" customHeight="1">
      <x:c r="A21" s="27" t="str">
        <x:v>214150</x:v>
      </x:c>
      <x:c r="B21" s="12" t="str">
        <x:v>클래시스</x:v>
      </x:c>
      <x:c r="C21" s="21" t="n">
        <x:v>14.97</x:v>
      </x:c>
      <x:c r="D21" s="21" t="n">
        <x:v>3.73</x:v>
      </x:c>
      <x:c r="E21" s="21" t="n">
        <x:v>336.819637856</x:v>
      </x:c>
      <x:c r="F21" s="13" t="n">
        <x:v>0.5065051288367477</x:v>
      </x:c>
      <x:c r="G21" s="22" t="n">
        <x:v>163.935787746</x:v>
      </x:c>
      <x:c r="H21" s="22" t="n">
        <x:v>144.682397845</x:v>
      </x:c>
      <x:c r="I21" s="22" t="n">
        <x:v>192.690616538</x:v>
      </x:c>
      <x:c r="J21" s="13" t="n">
        <x:v>0.4210904627055286</x:v>
      </x:c>
      <x:c r="K21" s="12" t="str">
        <x:v>CFS</x:v>
      </x:c>
      <x:c r="L21" s="12" t="str">
        <x:v>https://dart.fss.or.kr/dsaf001/main.do?rcpNo=20260323001541</x:v>
      </x:c>
      <x:c r="M21" s="12" t="str">
        <x:v>https://m.stock.naver.com/stock/214150/total</x:v>
      </x:c>
    </x:row>
    <x:row r="22" ht="32" customHeight="1">
      <x:c r="A22" s="23" t="str">
        <x:v>031980</x:v>
      </x:c>
      <x:c r="B22" s="2" t="str">
        <x:v>피에스케이홀딩스</x:v>
      </x:c>
      <x:c r="C22" s="19" t="n">
        <x:v>31.87</x:v>
      </x:c>
      <x:c r="D22" s="19" t="n">
        <x:v>6.12</x:v>
      </x:c>
      <x:c r="E22" s="19" t="n">
        <x:v>207.764042799</x:v>
      </x:c>
      <x:c r="F22" s="5" t="n">
        <x:v>0.35328978864745736</x:v>
      </x:c>
      <x:c r="G22" s="20" t="n">
        <x:v>81.417272271</x:v>
      </x:c>
      <x:c r="H22" s="20" t="n">
        <x:v>79.228459016</x:v>
      </x:c>
      <x:c r="I22" s="20" t="n">
        <x:v>75.307553959</x:v>
      </x:c>
      <x:c r="J22" s="5" t="n">
        <x:v>0.30497254398282375</x:v>
      </x:c>
      <x:c r="K22" s="2" t="str">
        <x:v>CFS</x:v>
      </x:c>
      <x:c r="L22" s="2" t="str">
        <x:v>https://dart.fss.or.kr/dsaf001/main.do?rcpNo=20260320000819</x:v>
      </x:c>
      <x:c r="M22" s="2" t="str">
        <x:v>https://m.stock.naver.com/stock/031980/total</x:v>
      </x:c>
    </x:row>
    <x:row r="23" ht="32" customHeight="1">
      <x:c r="A23" s="27" t="str">
        <x:v>483650</x:v>
      </x:c>
      <x:c r="B23" s="12" t="str">
        <x:v>달바글로벌</x:v>
      </x:c>
      <x:c r="C23" s="21" t="n">
        <x:v>20.71</x:v>
      </x:c>
      <x:c r="D23" s="21" t="n">
        <x:v>8.98</x:v>
      </x:c>
      <x:c r="E23" s="21" t="n">
        <x:v>519.735447906</x:v>
      </x:c>
      <x:c r="F23" s="13" t="n">
        <x:v>0.195232816256458</x:v>
      </x:c>
      <x:c r="G23" s="22" t="n">
        <x:v>68.482449044</x:v>
      </x:c>
      <x:c r="H23" s="22" t="n">
        <x:v>68.102596856</x:v>
      </x:c>
      <x:c r="I23" s="22" t="n">
        <x:v>358.102940883</x:v>
      </x:c>
      <x:c r="J23" s="13" t="n">
        <x:v>0.25783462815840613</x:v>
      </x:c>
      <x:c r="K23" s="12" t="str">
        <x:v>CFS</x:v>
      </x:c>
      <x:c r="L23" s="12" t="str">
        <x:v>https://dart.fss.or.kr/dsaf001/main.do?rcpNo=20260407001978</x:v>
      </x:c>
      <x:c r="M23" s="12" t="str">
        <x:v>https://m.stock.naver.com/stock/483650/total</x:v>
      </x:c>
    </x:row>
    <x:row r="24" ht="32" customHeight="1">
      <x:c r="A24" s="23" t="str">
        <x:v>001450</x:v>
      </x:c>
      <x:c r="B24" s="2" t="str">
        <x:v>현대해상</x:v>
      </x:c>
      <x:c r="C24" s="19" t="n">
        <x:v>3.7</x:v>
      </x:c>
      <x:c r="D24" s="19" t="n">
        <x:v>0.59</x:v>
      </x:c>
      <x:c r="E24" s="19" t="str">
        <x:v>n.a.</x:v>
      </x:c>
      <x:c r="F24" s="5" t="str">
        <x:v>n.a.</x:v>
      </x:c>
      <x:c r="G24" s="20" t="n">
        <x:v>3527.079478029</x:v>
      </x:c>
      <x:c r="H24" s="20" t="n">
        <x:v>3495.799623209</x:v>
      </x:c>
      <x:c r="I24" s="20" t="str">
        <x:v>n.a.</x:v>
      </x:c>
      <x:c r="J24" s="5" t="str">
        <x:v>n.a.</x:v>
      </x:c>
      <x:c r="K24" s="2" t="str">
        <x:v>CFS</x:v>
      </x:c>
      <x:c r="L24" s="2" t="str">
        <x:v>https://dart.fss.or.kr/dsaf001/main.do?rcpNo=20260312001448</x:v>
      </x:c>
      <x:c r="M24" s="2" t="str">
        <x:v>https://m.stock.naver.com/stock/001450/total</x:v>
      </x:c>
    </x:row>
    <x:row r="25" ht="32" customHeight="1">
      <x:c r="A25" s="27" t="str">
        <x:v>000500</x:v>
      </x:c>
      <x:c r="B25" s="12" t="str">
        <x:v>가온전선</x:v>
      </x:c>
      <x:c r="C25" s="21" t="n">
        <x:v>122.97</x:v>
      </x:c>
      <x:c r="D25" s="21" t="n">
        <x:v>14.91</x:v>
      </x:c>
      <x:c r="E25" s="21" t="n">
        <x:v>2545.698074</x:v>
      </x:c>
      <x:c r="F25" s="13" t="n">
        <x:v>0.0311080060156419</x:v>
      </x:c>
      <x:c r="G25" s="22" t="n">
        <x:v>41.739624</x:v>
      </x:c>
      <x:c r="H25" s="22" t="n">
        <x:v>17.100505</x:v>
      </x:c>
      <x:c r="I25" s="22" t="n">
        <x:v>1632.966571</x:v>
      </x:c>
      <x:c r="J25" s="13" t="n">
        <x:v>0.039171888228445556</x:v>
      </x:c>
      <x:c r="K25" s="12" t="str">
        <x:v>CFS</x:v>
      </x:c>
      <x:c r="L25" s="12" t="str">
        <x:v>https://dart.fss.or.kr/dsaf001/main.do?rcpNo=20260316000969</x:v>
      </x:c>
      <x:c r="M25" s="12" t="str">
        <x:v>https://m.stock.naver.com/stock/000500/total</x:v>
      </x:c>
    </x:row>
    <x:row r="26" ht="32" customHeight="1">
      <x:c r="A26" s="23" t="str">
        <x:v>124500</x:v>
      </x:c>
      <x:c r="B26" s="2" t="str">
        <x:v>아이티센글로벌</x:v>
      </x:c>
      <x:c r="C26" s="19" t="n">
        <x:v>10.52</x:v>
      </x:c>
      <x:c r="D26" s="19" t="n">
        <x:v>4.53</x:v>
      </x:c>
      <x:c r="E26" s="19" t="n">
        <x:v>8870.844790093</x:v>
      </x:c>
      <x:c r="F26" s="5" t="n">
        <x:v>0.031555704812198083</x:v>
      </x:c>
      <x:c r="G26" s="20" t="n">
        <x:v>238.15239667</x:v>
      </x:c>
      <x:c r="H26" s="20" t="n">
        <x:v>205.95231686</x:v>
      </x:c>
      <x:c r="I26" s="20" t="n">
        <x:v>5580.648894626</x:v>
      </x:c>
      <x:c r="J26" s="5" t="n">
        <x:v>0.01925606942115318</x:v>
      </x:c>
      <x:c r="K26" s="2" t="str">
        <x:v>CFS</x:v>
      </x:c>
      <x:c r="L26" s="2" t="str">
        <x:v>https://dart.fss.or.kr/dsaf001/main.do?rcpNo=20260323001492</x:v>
      </x:c>
      <x:c r="M26" s="2" t="str">
        <x:v>https://m.stock.naver.com/stock/124500/total</x:v>
      </x:c>
    </x:row>
    <x:row r="27" ht="32" customHeight="1">
      <x:c r="A27" s="27" t="str">
        <x:v>083650</x:v>
      </x:c>
      <x:c r="B27" s="12" t="str">
        <x:v>비에이치아이</x:v>
      </x:c>
      <x:c r="C27" s="21" t="n">
        <x:v>39.66</x:v>
      </x:c>
      <x:c r="D27" s="21" t="n">
        <x:v>10.22</x:v>
      </x:c>
      <x:c r="E27" s="21" t="n">
        <x:v>774.116878915</x:v>
      </x:c>
      <x:c r="F27" s="13" t="n">
        <x:v>0.0975261230717716</x:v>
      </x:c>
      <x:c r="G27" s="22" t="n">
        <x:v>112.298107754</x:v>
      </x:c>
      <x:c r="H27" s="22" t="n">
        <x:v>93.815882622</x:v>
      </x:c>
      <x:c r="I27" s="22" t="n">
        <x:v>577.066229772</x:v>
      </x:c>
      <x:c r="J27" s="13" t="n">
        <x:v>0.1400318778243656</x:v>
      </x:c>
      <x:c r="K27" s="12" t="str">
        <x:v>CFS</x:v>
      </x:c>
      <x:c r="L27" s="12" t="str">
        <x:v>https://dart.fss.or.kr/dsaf001/main.do?rcpNo=20260320000821</x:v>
      </x:c>
      <x:c r="M27" s="12" t="str">
        <x:v>https://m.stock.naver.com/stock/083650/total</x:v>
      </x:c>
    </x:row>
    <x:row r="28" ht="32" customHeight="1">
      <x:c r="A28" s="23" t="str">
        <x:v>078930</x:v>
      </x:c>
      <x:c r="B28" s="2" t="str">
        <x:v>GS</x:v>
      </x:c>
      <x:c r="C28" s="19" t="n">
        <x:v>4.95</x:v>
      </x:c>
      <x:c r="D28" s="19" t="n">
        <x:v>0.71</x:v>
      </x:c>
      <x:c r="E28" s="19" t="n">
        <x:v>25184.127</x:v>
      </x:c>
      <x:c r="F28" s="5" t="n">
        <x:v>0.11658379105219728</x:v>
      </x:c>
      <x:c r="G28" s="20" t="n">
        <x:v>2193.338</x:v>
      </x:c>
      <x:c r="H28" s="20" t="n">
        <x:v>282.377</x:v>
      </x:c>
      <x:c r="I28" s="20" t="n">
        <x:v>14255.478</x:v>
      </x:c>
      <x:c r="J28" s="5" t="n">
        <x:v>0.2087600289516774</x:v>
      </x:c>
      <x:c r="K28" s="2" t="str">
        <x:v>CFS</x:v>
      </x:c>
      <x:c r="L28" s="2" t="str">
        <x:v>https://dart.fss.or.kr/dsaf001/main.do?rcpNo=20260318000836</x:v>
      </x:c>
      <x:c r="M28" s="2" t="str">
        <x:v>https://m.stock.naver.com/stock/078930/total</x:v>
      </x:c>
    </x:row>
    <x:row r="29" ht="32" customHeight="1">
      <x:c r="A29" s="27" t="str">
        <x:v>035900</x:v>
      </x:c>
      <x:c r="B29" s="12" t="str">
        <x:v>JYP Ent.</x:v>
      </x:c>
      <x:c r="C29" s="21" t="n">
        <x:v>12.71</x:v>
      </x:c>
      <x:c r="D29" s="21" t="n">
        <x:v>1.98</x:v>
      </x:c>
      <x:c r="E29" s="21" t="n">
        <x:v>821.854634614</x:v>
      </x:c>
      <x:c r="F29" s="13" t="n">
        <x:v>0.18889726666676807</x:v>
      </x:c>
      <x:c r="G29" s="22" t="n">
        <x:v>124.332829487</x:v>
      </x:c>
      <x:c r="H29" s="22" t="n">
        <x:v>101.824861416</x:v>
      </x:c>
      <x:c r="I29" s="22" t="n">
        <x:v>369.10249924</x:v>
      </x:c>
      <x:c r="J29" s="13" t="n">
        <x:v>0.1744022096180483</x:v>
      </x:c>
      <x:c r="K29" s="12" t="str">
        <x:v>CFS</x:v>
      </x:c>
      <x:c r="L29" s="12" t="str">
        <x:v>https://dart.fss.or.kr/dsaf001/main.do?rcpNo=20260318001519</x:v>
      </x:c>
      <x:c r="M29" s="12" t="str">
        <x:v>https://m.stock.naver.com/stock/035900/total</x:v>
      </x:c>
    </x:row>
    <x:row r="30" ht="32" customHeight="1">
      <x:c r="A30" s="23" t="str">
        <x:v>041510</x:v>
      </x:c>
      <x:c r="B30" s="2" t="str">
        <x:v>에스엠</x:v>
      </x:c>
      <x:c r="C30" s="19" t="n">
        <x:v>13.95</x:v>
      </x:c>
      <x:c r="D30" s="19" t="n">
        <x:v>1.78</x:v>
      </x:c>
      <x:c r="E30" s="19" t="n">
        <x:v>1174.934814159</x:v>
      </x:c>
      <x:c r="F30" s="5" t="n">
        <x:v>0.15578215426190498</x:v>
      </x:c>
      <x:c r="G30" s="20" t="n">
        <x:v>194.860708063</x:v>
      </x:c>
      <x:c r="H30" s="20" t="n">
        <x:v>153.650991302</x:v>
      </x:c>
      <x:c r="I30" s="20" t="n">
        <x:v>628.741431007</x:v>
      </x:c>
      <x:c r="J30" s="5" t="n">
        <x:v>0.14545772449498687</x:v>
      </x:c>
      <x:c r="K30" s="2" t="str">
        <x:v>CFS</x:v>
      </x:c>
      <x:c r="L30" s="2" t="str">
        <x:v>https://dart.fss.or.kr/dsaf001/main.do?rcpNo=20260317000781</x:v>
      </x:c>
      <x:c r="M30" s="2" t="str">
        <x:v>https://m.stock.naver.com/stock/041510/total</x:v>
      </x:c>
    </x:row>
    <x:row r="31" ht="32" customHeight="1">
      <x:c r="A31" s="27" t="str">
        <x:v>005830</x:v>
      </x:c>
      <x:c r="B31" s="12" t="str">
        <x:v>DB손해보험</x:v>
      </x:c>
      <x:c r="C31" s="21" t="n">
        <x:v>7.06</x:v>
      </x:c>
      <x:c r="D31" s="21" t="n">
        <x:v>0.81</x:v>
      </x:c>
      <x:c r="E31" s="21" t="str">
        <x:v>n.a.</x:v>
      </x:c>
      <x:c r="F31" s="13" t="str">
        <x:v>n.a.</x:v>
      </x:c>
      <x:c r="G31" s="22" t="n">
        <x:v>-282.418</x:v>
      </x:c>
      <x:c r="H31" s="22" t="n">
        <x:v>-392.158</x:v>
      </x:c>
      <x:c r="I31" s="22" t="str">
        <x:v>n.a.</x:v>
      </x:c>
      <x:c r="J31" s="13" t="str">
        <x:v>n.a.</x:v>
      </x:c>
      <x:c r="K31" s="12" t="str">
        <x:v>CFS</x:v>
      </x:c>
      <x:c r="L31" s="12" t="str">
        <x:v>https://dart.fss.or.kr/dsaf001/main.do?rcpNo=20260331003904</x:v>
      </x:c>
      <x:c r="M31" s="12" t="str">
        <x:v>https://m.stock.naver.com/stock/005830/total</x:v>
      </x:c>
    </x:row>
    <x:row r="32" ht="32" customHeight="1">
      <x:c r="A32" s="23" t="str">
        <x:v>095340</x:v>
      </x:c>
      <x:c r="B32" s="2" t="str">
        <x:v>ISC</x:v>
      </x:c>
      <x:c r="C32" s="19" t="n">
        <x:v>52.09</x:v>
      </x:c>
      <x:c r="D32" s="19" t="n">
        <x:v>6.92</x:v>
      </x:c>
      <x:c r="E32" s="19" t="n">
        <x:v>220.194751972</x:v>
      </x:c>
      <x:c r="F32" s="5" t="n">
        <x:v>0.2727307829872188</x:v>
      </x:c>
      <x:c r="G32" s="20" t="n">
        <x:v>41.712020998</x:v>
      </x:c>
      <x:c r="H32" s="20" t="n">
        <x:v>35.377885221</x:v>
      </x:c>
      <x:c r="I32" s="20" t="n">
        <x:v>141.201307191</x:v>
      </x:c>
      <x:c r="J32" s="5" t="n">
        <x:v>0.31824453385700807</x:v>
      </x:c>
      <x:c r="K32" s="2" t="str">
        <x:v>CFS</x:v>
      </x:c>
      <x:c r="L32" s="2" t="str">
        <x:v>https://dart.fss.or.kr/dsaf001/main.do?rcpNo=20260318000018</x:v>
      </x:c>
      <x:c r="M32" s="2" t="str">
        <x:v>https://m.stock.naver.com/stock/095340/total</x:v>
      </x:c>
    </x:row>
    <x:row r="33" ht="32" customHeight="1">
      <x:c r="A33" s="27" t="str">
        <x:v>101490</x:v>
      </x:c>
      <x:c r="B33" s="12" t="str">
        <x:v>에스앤에스텍</x:v>
      </x:c>
      <x:c r="C33" s="21" t="n">
        <x:v>13.8</x:v>
      </x:c>
      <x:c r="D33" s="21" t="n">
        <x:v>2.55</x:v>
      </x:c>
      <x:c r="E33" s="21" t="n">
        <x:v>243.733252593</x:v>
      </x:c>
      <x:c r="F33" s="13" t="n">
        <x:v>0.2067413937569846</x:v>
      </x:c>
      <x:c r="G33" s="22" t="n">
        <x:v>46.882046173</x:v>
      </x:c>
      <x:c r="H33" s="22" t="n">
        <x:v>-17.591245132</x:v>
      </x:c>
      <x:c r="I33" s="22" t="n">
        <x:v>128.106371358</x:v>
      </x:c>
      <x:c r="J33" s="13" t="n">
        <x:v>0.19492435247593642</x:v>
      </x:c>
      <x:c r="K33" s="12" t="str">
        <x:v>CFS</x:v>
      </x:c>
      <x:c r="L33" s="12" t="str">
        <x:v>https://dart.fss.or.kr/dsaf001/main.do?rcpNo=20260316000487</x:v>
      </x:c>
      <x:c r="M33" s="12" t="str">
        <x:v>https://m.stock.naver.com/stock/101490/total</x:v>
      </x:c>
    </x:row>
    <x:row r="34" ht="32" customHeight="1">
      <x:c r="A34" s="23" t="str">
        <x:v>402340</x:v>
      </x:c>
      <x:c r="B34" s="2" t="str">
        <x:v>SK스퀘어</x:v>
      </x:c>
      <x:c r="C34" s="19" t="n">
        <x:v>4.58</x:v>
      </x:c>
      <x:c r="D34" s="19" t="n">
        <x:v>2.73</x:v>
      </x:c>
      <x:c r="E34" s="19" t="n">
        <x:v>1411.521</x:v>
      </x:c>
      <x:c r="F34" s="5" t="n">
        <x:v>6.232582441210581</x:v>
      </x:c>
      <x:c r="G34" s="20" t="n">
        <x:v>387.202</x:v>
      </x:c>
      <x:c r="H34" s="20" t="n">
        <x:v>348.568</x:v>
      </x:c>
      <x:c r="I34" s="20" t="n">
        <x:v>628.898</x:v>
      </x:c>
      <x:c r="J34" s="5" t="n">
        <x:v>43.74910239816314</x:v>
      </x:c>
      <x:c r="K34" s="2" t="str">
        <x:v>CFS</x:v>
      </x:c>
      <x:c r="L34" s="2" t="str">
        <x:v>https://dart.fss.or.kr/dsaf001/main.do?rcpNo=20260317000830</x:v>
      </x:c>
      <x:c r="M34" s="2" t="str">
        <x:v>https://m.stock.naver.com/stock/402340/total</x:v>
      </x:c>
    </x:row>
    <x:row r="35" ht="32" customHeight="1">
      <x:c r="A35" s="27" t="str">
        <x:v>053610</x:v>
      </x:c>
      <x:c r="B35" s="12" t="str">
        <x:v>프로텍</x:v>
      </x:c>
      <x:c r="C35" s="21" t="n">
        <x:v>7.43</x:v>
      </x:c>
      <x:c r="D35" s="21" t="n">
        <x:v>1.38</x:v>
      </x:c>
      <x:c r="E35" s="21" t="n">
        <x:v>230.542705719</x:v>
      </x:c>
      <x:c r="F35" s="13" t="n">
        <x:v>0.20086019137140568</x:v>
      </x:c>
      <x:c r="G35" s="22" t="n">
        <x:v>29.622029288</x:v>
      </x:c>
      <x:c r="H35" s="22" t="n">
        <x:v>-6.785731236</x:v>
      </x:c>
      <x:c r="I35" s="22" t="n">
        <x:v>139.726171281</x:v>
      </x:c>
      <x:c r="J35" s="13" t="n">
        <x:v>0.27565217087027843</x:v>
      </x:c>
      <x:c r="K35" s="12" t="str">
        <x:v>CFS</x:v>
      </x:c>
      <x:c r="L35" s="12" t="str">
        <x:v>https://dart.fss.or.kr/dsaf001/main.do?rcpNo=20260319000272</x:v>
      </x:c>
      <x:c r="M35" s="12" t="str">
        <x:v>https://m.stock.naver.com/stock/053610/total</x:v>
      </x:c>
    </x:row>
    <x:row r="36" ht="32" customHeight="1">
      <x:c r="A36" s="23" t="str">
        <x:v>096770</x:v>
      </x:c>
      <x:c r="B36" s="2" t="str">
        <x:v>SK이노베이션</x:v>
      </x:c>
      <x:c r="C36" s="19" t="str">
        <x:v>n.a.</x:v>
      </x:c>
      <x:c r="D36" s="19" t="n">
        <x:v>1</x:v>
      </x:c>
      <x:c r="E36" s="19" t="n">
        <x:v>80296.054243</x:v>
      </x:c>
      <x:c r="F36" s="5" t="n">
        <x:v>0.00558786933218596</x:v>
      </x:c>
      <x:c r="G36" s="20" t="n">
        <x:v>2283.052527</x:v>
      </x:c>
      <x:c r="H36" s="20" t="n">
        <x:v>-3367.511871</x:v>
      </x:c>
      <x:c r="I36" s="20" t="n">
        <x:v>53448.217711</x:v>
      </x:c>
      <x:c r="J36" s="5" t="n">
        <x:v>0.10569972053225833</x:v>
      </x:c>
      <x:c r="K36" s="2" t="str">
        <x:v>CFS</x:v>
      </x:c>
      <x:c r="L36" s="2" t="str">
        <x:v>https://dart.fss.or.kr/dsaf001/main.do?rcpNo=20260316000827</x:v>
      </x:c>
      <x:c r="M36" s="2" t="str">
        <x:v>https://m.stock.naver.com/stock/096770/total</x:v>
      </x:c>
    </x:row>
    <x:row r="37" ht="32" customHeight="1">
      <x:c r="A37" s="27" t="str">
        <x:v>326030</x:v>
      </x:c>
      <x:c r="B37" s="12" t="str">
        <x:v>SK바이오팜</x:v>
      </x:c>
      <x:c r="C37" s="21" t="n">
        <x:v>16.37</x:v>
      </x:c>
      <x:c r="D37" s="21" t="n">
        <x:v>6.42</x:v>
      </x:c>
      <x:c r="E37" s="21" t="n">
        <x:v>706.740960308</x:v>
      </x:c>
      <x:c r="F37" s="13" t="n">
        <x:v>0.28856183880317754</x:v>
      </x:c>
      <x:c r="G37" s="22" t="n">
        <x:v>176.333532013</x:v>
      </x:c>
      <x:c r="H37" s="22" t="n">
        <x:v>146.823413216</x:v>
      </x:c>
      <x:c r="I37" s="22" t="n">
        <x:v>475.253167717</x:v>
      </x:c>
      <x:c r="J37" s="13" t="n">
        <x:v>0.39312170219610915</x:v>
      </x:c>
      <x:c r="K37" s="12" t="str">
        <x:v>CFS</x:v>
      </x:c>
      <x:c r="L37" s="12" t="str">
        <x:v>https://dart.fss.or.kr/dsaf001/main.do?rcpNo=20260318000773</x:v>
      </x:c>
      <x:c r="M37" s="12" t="str">
        <x:v>https://m.stock.naver.com/stock/326030/total</x:v>
      </x:c>
    </x:row>
    <x:row r="38">
      <x:c r="A38" s="29"/>
    </x:row>
    <x:row r="39">
      <x:c r="A39" s="29"/>
    </x:row>
    <x:row r="40">
      <x:c r="A40" s="29"/>
    </x:row>
    <x:row r="41">
      <x:c r="A41" s="29"/>
    </x:row>
    <x:row r="42">
      <x:c r="A42" s="29"/>
    </x:row>
    <x:row r="43">
      <x:c r="A43" s="29"/>
    </x:row>
    <x:row r="44">
      <x:c r="A44" s="29"/>
    </x:row>
    <x:row r="45">
      <x:c r="A45" s="29"/>
    </x:row>
    <x:row r="46">
      <x:c r="A46" s="29"/>
    </x:row>
    <x:row r="47">
      <x:c r="A47" s="29"/>
    </x:row>
    <x:row r="48">
      <x:c r="A48" s="29"/>
    </x:row>
    <x:row r="49">
      <x:c r="A49" s="29"/>
    </x:row>
    <x:row r="50">
      <x:c r="A50" s="29"/>
    </x:row>
    <x:row r="51">
      <x:c r="A51" s="29"/>
    </x:row>
    <x:row r="52">
      <x:c r="A52" s="29"/>
    </x:row>
    <x:row r="53">
      <x:c r="A53" s="29"/>
    </x:row>
    <x:row r="54">
      <x:c r="A54" s="29"/>
    </x:row>
    <x:row r="55">
      <x:c r="A55" s="29"/>
    </x:row>
    <x:row r="56">
      <x:c r="A56" s="29"/>
    </x:row>
    <x:row r="57">
      <x:c r="A57" s="29"/>
    </x:row>
    <x:row r="58">
      <x:c r="A58" s="29"/>
    </x:row>
    <x:row r="59">
      <x:c r="A59" s="29"/>
    </x:row>
    <x:row r="60">
      <x:c r="A60" s="29"/>
    </x:row>
    <x:row r="61">
      <x:c r="A61" s="29"/>
    </x:row>
    <x:row r="62">
      <x:c r="A62" s="29"/>
    </x:row>
    <x:row r="63">
      <x:c r="A63" s="29"/>
    </x:row>
    <x:row r="64">
      <x:c r="A64" s="29"/>
    </x:row>
    <x:row r="65">
      <x:c r="A65" s="29"/>
    </x:row>
    <x:row r="66">
      <x:c r="A66" s="29"/>
    </x:row>
    <x:row r="67">
      <x:c r="A67" s="29"/>
    </x:row>
    <x:row r="68">
      <x:c r="A68" s="29"/>
    </x:row>
    <x:row r="69">
      <x:c r="A69" s="29"/>
    </x:row>
    <x:row r="70">
      <x:c r="A70" s="29"/>
    </x:row>
    <x:row r="71">
      <x:c r="A71" s="29"/>
    </x:row>
    <x:row r="72">
      <x:c r="A72" s="29"/>
    </x:row>
    <x:row r="73">
      <x:c r="A73" s="29"/>
    </x:row>
    <x:row r="74">
      <x:c r="A74" s="29"/>
    </x:row>
    <x:row r="75">
      <x:c r="A75" s="29"/>
    </x:row>
    <x:row r="76">
      <x:c r="A76" s="29"/>
    </x:row>
    <x:row r="77">
      <x:c r="A77" s="29"/>
    </x:row>
    <x:row r="78">
      <x:c r="A78" s="29"/>
    </x:row>
    <x:row r="79">
      <x:c r="A79" s="29"/>
    </x:row>
    <x:row r="80">
      <x:c r="A80" s="29"/>
    </x:row>
    <x:row r="81">
      <x:c r="A81" s="29"/>
    </x:row>
    <x:row r="82">
      <x:c r="A82" s="29"/>
    </x:row>
    <x:row r="83">
      <x:c r="A83" s="29"/>
    </x:row>
    <x:row r="84">
      <x:c r="A84" s="29"/>
    </x:row>
    <x:row r="85">
      <x:c r="A85" s="29"/>
    </x:row>
    <x:row r="86">
      <x:c r="A86" s="29"/>
    </x:row>
    <x:row r="87">
      <x:c r="A87" s="29"/>
    </x:row>
    <x:row r="88">
      <x:c r="A88" s="29"/>
    </x:row>
    <x:row r="89">
      <x:c r="A89" s="29"/>
    </x:row>
    <x:row r="90">
      <x:c r="A90" s="29"/>
    </x:row>
    <x:row r="91">
      <x:c r="A91" s="29"/>
    </x:row>
    <x:row r="92">
      <x:c r="A92" s="29"/>
    </x:row>
    <x:row r="93">
      <x:c r="A93" s="29"/>
    </x:row>
    <x:row r="94">
      <x:c r="A94" s="29"/>
    </x:row>
    <x:row r="95">
      <x:c r="A95" s="29"/>
    </x:row>
    <x:row r="96">
      <x:c r="A96" s="29"/>
    </x:row>
    <x:row r="97">
      <x:c r="A97" s="29"/>
    </x:row>
    <x:row r="98">
      <x:c r="A98" s="29"/>
    </x:row>
    <x:row r="99">
      <x:c r="A99" s="29"/>
    </x:row>
    <x:row r="100">
      <x:c r="A100" s="29"/>
    </x:row>
  </x:sheetData>
  <x:pageMargins left="0.7" right="0.7" top="0.75" bottom="0.75" header="0.3" footer="0.3"/>
</x:worksheet>
</file>