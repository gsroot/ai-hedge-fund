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포트폴리오" sheetId="2" state="visible" r:id="rId2"/>
    <sheet xmlns:r="http://schemas.openxmlformats.org/officeDocument/2006/relationships" name="순위" sheetId="3" state="visible" r:id="rId3"/>
    <sheet xmlns:r="http://schemas.openxmlformats.org/officeDocument/2006/relationships" name="투자자 매트릭스" sheetId="4" state="visible" r:id="rId4"/>
    <sheet xmlns:r="http://schemas.openxmlformats.org/officeDocument/2006/relationships" name="투자자 상세" sheetId="5" state="visible" r:id="rId5"/>
    <sheet xmlns:r="http://schemas.openxmlformats.org/officeDocument/2006/relationships" name="리스크 분석" sheetId="6" state="visible" r:id="rId6"/>
  </sheets>
  <definedNames>
    <definedName name="_xlnm._FilterDatabase" localSheetId="1" hidden="1">'포트폴리오'!$A$1:$M$12</definedName>
    <definedName name="_xlnm._FilterDatabase" localSheetId="2" hidden="1">'순위'!$A$1:$P$31</definedName>
    <definedName name="_xlnm._FilterDatabase" localSheetId="3" hidden="1">'투자자 매트릭스'!$A$1:$G$31</definedName>
    <definedName name="_xlnm._FilterDatabase" localSheetId="4" hidden="1">'투자자 상세'!$A$1:$F$91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+0.0%;-0.0%"/>
    <numFmt numFmtId="165" formatCode="0.0%"/>
    <numFmt numFmtId="166" formatCode="0.0"/>
    <numFmt numFmtId="167" formatCode="0.000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  <sz val="12"/>
    </font>
  </fonts>
  <fills count="8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D6E4F0"/>
      </patternFill>
    </fill>
    <fill>
      <patternFill patternType="solid">
        <fgColor rgb="00F5F5F5"/>
      </patternFill>
    </fill>
    <fill>
      <patternFill patternType="solid">
        <fgColor rgb="00FCE4EC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404040"/>
      </top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9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0" fontId="3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  <xf numFmtId="0" fontId="2" fillId="5" borderId="1" applyAlignment="1" pivotButton="0" quotePrefix="0" xfId="0">
      <alignment vertical="top"/>
    </xf>
    <xf numFmtId="165" fontId="2" fillId="5" borderId="1" applyAlignment="1" pivotButton="0" quotePrefix="0" xfId="0">
      <alignment vertical="top"/>
    </xf>
    <xf numFmtId="9" fontId="2" fillId="5" borderId="1" applyAlignment="1" pivotButton="0" quotePrefix="0" xfId="0">
      <alignment vertical="top"/>
    </xf>
    <xf numFmtId="164" fontId="2" fillId="5" borderId="1" applyAlignment="1" pivotButton="0" quotePrefix="0" xfId="0">
      <alignment vertical="top"/>
    </xf>
    <xf numFmtId="166" fontId="2" fillId="5" borderId="1" applyAlignment="1" pivotButton="0" quotePrefix="0" xfId="0">
      <alignment vertical="top"/>
    </xf>
    <xf numFmtId="2" fontId="0" fillId="4" borderId="1" applyAlignment="1" pivotButton="0" quotePrefix="0" xfId="0">
      <alignment vertical="top"/>
    </xf>
    <xf numFmtId="166" fontId="0" fillId="4" borderId="1" applyAlignment="1" pivotButton="0" quotePrefix="0" xfId="0">
      <alignment vertical="top"/>
    </xf>
    <xf numFmtId="164" fontId="0" fillId="4" borderId="1" applyAlignment="1" pivotButton="0" quotePrefix="0" xfId="0">
      <alignment vertical="top"/>
    </xf>
    <xf numFmtId="165" fontId="0" fillId="4" borderId="1" applyAlignment="1" pivotButton="0" quotePrefix="0" xfId="0">
      <alignment vertical="top"/>
    </xf>
    <xf numFmtId="2" fontId="0" fillId="0" borderId="1" applyAlignment="1" pivotButton="0" quotePrefix="0" xfId="0">
      <alignment vertical="top"/>
    </xf>
    <xf numFmtId="0" fontId="0" fillId="6" borderId="1" applyAlignment="1" pivotButton="0" quotePrefix="0" xfId="0">
      <alignment vertical="top"/>
    </xf>
    <xf numFmtId="0" fontId="0" fillId="7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167" fontId="0" fillId="0" borderId="1" applyAlignment="1" pivotButton="0" quotePrefix="0" xfId="0">
      <alignment vertical="top"/>
    </xf>
    <xf numFmtId="1" fontId="0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섹터 분포</a:t>
            </a:r>
          </a:p>
        </rich>
      </tx>
    </title>
    <plotArea>
      <pieChart>
        <varyColors val="1"/>
        <ser>
          <idx val="0"/>
          <order val="0"/>
          <tx>
            <strRef>
              <f>'요약'!B19</f>
            </strRef>
          </tx>
          <spPr>
            <a:ln xmlns:a="http://schemas.openxmlformats.org/drawingml/2006/main">
              <a:prstDash val="solid"/>
            </a:ln>
          </spPr>
          <cat>
            <numRef>
              <f>'요약'!$A$20</f>
            </numRef>
          </cat>
          <val>
            <numRef>
              <f>'요약'!$B$20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7</row>
      <rowOff>0</rowOff>
    </from>
    <ext cx="36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2" customWidth="1" min="4" max="4"/>
    <col width="12" customWidth="1" min="5" max="5"/>
    <col width="12" customWidth="1" min="6" max="6"/>
  </cols>
  <sheetData>
    <row r="1">
      <c r="A1" s="1" t="inlineStr">
        <is>
          <t>AI Hedge Fund 포트폴리오 리포트</t>
        </is>
      </c>
    </row>
    <row r="3">
      <c r="A3" s="2" t="inlineStr">
        <is>
          <t>분석 일자</t>
        </is>
      </c>
      <c r="B3" s="2" t="inlineStr">
        <is>
          <t>2026-03-10</t>
        </is>
      </c>
    </row>
    <row r="4">
      <c r="A4" s="2" t="inlineStr">
        <is>
          <t>분석 대상</t>
        </is>
      </c>
      <c r="B4" s="2" t="inlineStr">
        <is>
          <t>KRX 상위 30개 종목</t>
        </is>
      </c>
    </row>
    <row r="5">
      <c r="A5" s="2" t="inlineStr">
        <is>
          <t>분석 전략</t>
        </is>
      </c>
      <c r="B5" s="2" t="inlineStr">
        <is>
          <t>하이브리드</t>
        </is>
      </c>
    </row>
    <row r="6">
      <c r="A6" s="2" t="inlineStr">
        <is>
          <t>투자자 관점</t>
        </is>
      </c>
      <c r="B6" s="2" t="inlineStr">
        <is>
          <t>W.Buffett, P.Lynch, P.Fisher</t>
        </is>
      </c>
    </row>
    <row r="7">
      <c r="A7" s="2" t="n"/>
      <c r="B7" s="2" t="n"/>
    </row>
    <row r="8">
      <c r="A8" s="3" t="inlineStr">
        <is>
          <t>포트폴리오 통계</t>
        </is>
      </c>
      <c r="B8" s="2" t="n"/>
    </row>
    <row r="9">
      <c r="A9" s="2" t="inlineStr">
        <is>
          <t>편입 종목 수</t>
        </is>
      </c>
      <c r="B9" s="2" t="inlineStr">
        <is>
          <t>10 / 30 (33.3%)</t>
        </is>
      </c>
    </row>
    <row r="10">
      <c r="A10" s="2" t="inlineStr">
        <is>
          <t>평균 신뢰도</t>
        </is>
      </c>
      <c r="B10" s="4" t="n">
        <v>0.7194529247910865</v>
      </c>
    </row>
    <row r="11">
      <c r="A11" s="2" t="inlineStr">
        <is>
          <t>평균 예상 수익률</t>
        </is>
      </c>
      <c r="B11" s="5" t="n">
        <v>0.05705264623955433</v>
      </c>
    </row>
    <row r="12">
      <c r="A12" s="2" t="inlineStr">
        <is>
          <t>강력매수 비중</t>
        </is>
      </c>
      <c r="B12" s="6" t="n">
        <v>0.6123955431754875</v>
      </c>
    </row>
    <row r="13">
      <c r="A13" s="2" t="n"/>
      <c r="B13" s="2" t="n"/>
    </row>
    <row r="14">
      <c r="A14" s="3" t="inlineStr">
        <is>
          <t>시가총액 분포</t>
        </is>
      </c>
      <c r="B14" s="2" t="n"/>
    </row>
    <row r="15">
      <c r="A15" s="2" t="inlineStr">
        <is>
          <t>N/A</t>
        </is>
      </c>
      <c r="B15" s="2" t="n">
        <v>1</v>
      </c>
    </row>
    <row r="16">
      <c r="A16" s="2" t="n"/>
      <c r="B16" s="2" t="n"/>
    </row>
    <row r="17">
      <c r="A17" s="2" t="n"/>
      <c r="B17" s="2" t="n"/>
    </row>
    <row r="18">
      <c r="A18" s="2" t="n"/>
      <c r="B18" s="2" t="n"/>
    </row>
    <row r="19">
      <c r="A19" s="3" t="inlineStr">
        <is>
          <t>섹터 분포</t>
        </is>
      </c>
      <c r="B19" s="2" t="n"/>
    </row>
    <row r="20">
      <c r="A20" s="2" t="inlineStr">
        <is>
          <t>N/A</t>
        </is>
      </c>
      <c r="B20" s="2" t="n">
        <v>1</v>
      </c>
    </row>
  </sheetData>
  <mergeCells count="1">
    <mergeCell ref="A1:B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10" customWidth="1" min="4" max="4"/>
    <col width="12" customWidth="1" min="5" max="5"/>
    <col width="10" customWidth="1" min="6" max="6"/>
    <col width="12" customWidth="1" min="7" max="7"/>
    <col width="12" customWidth="1" min="8" max="8"/>
    <col width="8" customWidth="1" min="9" max="9"/>
    <col width="8" customWidth="1" min="10" max="10"/>
    <col width="8" customWidth="1" min="11" max="11"/>
    <col width="8" customWidth="1" min="12" max="12"/>
    <col width="10" customWidth="1" min="13" max="13"/>
  </cols>
  <sheetData>
    <row r="1">
      <c r="A1" s="7" t="inlineStr">
        <is>
          <t>#</t>
        </is>
      </c>
      <c r="B1" s="7" t="inlineStr">
        <is>
          <t>종목코드</t>
        </is>
      </c>
      <c r="C1" s="7" t="inlineStr">
        <is>
          <t>회사명</t>
        </is>
      </c>
      <c r="D1" s="7" t="inlineStr">
        <is>
          <t>비중</t>
        </is>
      </c>
      <c r="E1" s="7" t="inlineStr">
        <is>
          <t>신호</t>
        </is>
      </c>
      <c r="F1" s="7" t="inlineStr">
        <is>
          <t>신뢰도</t>
        </is>
      </c>
      <c r="G1" s="7" t="inlineStr">
        <is>
          <t>예상수익률</t>
        </is>
      </c>
      <c r="H1" s="7" t="inlineStr">
        <is>
          <t>시가총액</t>
        </is>
      </c>
      <c r="I1" s="7" t="inlineStr">
        <is>
          <t>P/E</t>
        </is>
      </c>
      <c r="J1" s="7" t="inlineStr">
        <is>
          <t>ROE</t>
        </is>
      </c>
      <c r="K1" s="7" t="inlineStr">
        <is>
          <t>PEG</t>
        </is>
      </c>
      <c r="L1" s="7" t="inlineStr">
        <is>
          <t>합의</t>
        </is>
      </c>
      <c r="M1" s="7" t="inlineStr">
        <is>
          <t>섹터</t>
        </is>
      </c>
    </row>
    <row r="2">
      <c r="A2" s="2" t="n">
        <v>1</v>
      </c>
      <c r="B2" s="2" t="inlineStr">
        <is>
          <t>033100</t>
        </is>
      </c>
      <c r="C2" s="2" t="inlineStr">
        <is>
          <t>제룡전기</t>
        </is>
      </c>
      <c r="D2" s="6" t="n">
        <v>0.1096100278551532</v>
      </c>
      <c r="E2" s="8" t="inlineStr">
        <is>
          <t>강력매수</t>
        </is>
      </c>
      <c r="F2" s="4" t="n">
        <v>0.787</v>
      </c>
      <c r="G2" s="5" t="n">
        <v>0.07200000000000001</v>
      </c>
      <c r="H2" s="2" t="inlineStr">
        <is>
          <t>N/A</t>
        </is>
      </c>
      <c r="I2" s="9" t="n"/>
      <c r="J2" s="6" t="n">
        <v>0.406</v>
      </c>
      <c r="K2" s="9" t="n"/>
      <c r="L2" s="2" t="inlineStr">
        <is>
          <t>3/3</t>
        </is>
      </c>
      <c r="M2" s="2" t="inlineStr">
        <is>
          <t>N/A</t>
        </is>
      </c>
    </row>
    <row r="3">
      <c r="A3" s="2" t="n">
        <v>2</v>
      </c>
      <c r="B3" s="2" t="inlineStr">
        <is>
          <t>018290</t>
        </is>
      </c>
      <c r="C3" s="2" t="inlineStr">
        <is>
          <t>브이티</t>
        </is>
      </c>
      <c r="D3" s="6" t="n">
        <v>0.1068245125348189</v>
      </c>
      <c r="E3" s="8" t="inlineStr">
        <is>
          <t>강력매수</t>
        </is>
      </c>
      <c r="F3" s="4" t="n">
        <v>0.767</v>
      </c>
      <c r="G3" s="5" t="n">
        <v>0.066</v>
      </c>
      <c r="H3" s="2" t="inlineStr">
        <is>
          <t>N/A</t>
        </is>
      </c>
      <c r="I3" s="9" t="n"/>
      <c r="J3" s="6" t="n">
        <v>0.4320000000000001</v>
      </c>
      <c r="K3" s="9" t="n"/>
      <c r="L3" s="2" t="inlineStr">
        <is>
          <t>3/3</t>
        </is>
      </c>
      <c r="M3" s="2" t="inlineStr">
        <is>
          <t>N/A</t>
        </is>
      </c>
    </row>
    <row r="4">
      <c r="A4" s="2" t="n">
        <v>3</v>
      </c>
      <c r="B4" s="2" t="inlineStr">
        <is>
          <t>348210</t>
        </is>
      </c>
      <c r="C4" s="2" t="inlineStr">
        <is>
          <t>넥스틴</t>
        </is>
      </c>
      <c r="D4" s="6" t="n">
        <v>0.1016713091922006</v>
      </c>
      <c r="E4" s="8" t="inlineStr">
        <is>
          <t>강력매수</t>
        </is>
      </c>
      <c r="F4" s="4" t="n">
        <v>0.73</v>
      </c>
      <c r="G4" s="5" t="n">
        <v>0.067</v>
      </c>
      <c r="H4" s="2" t="inlineStr">
        <is>
          <t>N/A</t>
        </is>
      </c>
      <c r="I4" s="9" t="n"/>
      <c r="J4" s="6" t="n">
        <v>0.244</v>
      </c>
      <c r="K4" s="9" t="n"/>
      <c r="L4" s="2" t="inlineStr">
        <is>
          <t>3/3</t>
        </is>
      </c>
      <c r="M4" s="2" t="inlineStr">
        <is>
          <t>N/A</t>
        </is>
      </c>
    </row>
    <row r="5">
      <c r="A5" s="2" t="n">
        <v>4</v>
      </c>
      <c r="B5" s="2" t="inlineStr">
        <is>
          <t>062040</t>
        </is>
      </c>
      <c r="C5" s="2" t="inlineStr">
        <is>
          <t>산일전기</t>
        </is>
      </c>
      <c r="D5" s="6" t="n">
        <v>0.09930362116991644</v>
      </c>
      <c r="E5" s="8" t="inlineStr">
        <is>
          <t>강력매수</t>
        </is>
      </c>
      <c r="F5" s="4" t="n">
        <v>0.713</v>
      </c>
      <c r="G5" s="5" t="n">
        <v>0.059</v>
      </c>
      <c r="H5" s="2" t="inlineStr">
        <is>
          <t>N/A</t>
        </is>
      </c>
      <c r="I5" s="9" t="n"/>
      <c r="J5" s="6" t="n">
        <v>0.193</v>
      </c>
      <c r="K5" s="9" t="n"/>
      <c r="L5" s="2" t="inlineStr">
        <is>
          <t>3/3</t>
        </is>
      </c>
      <c r="M5" s="2" t="inlineStr">
        <is>
          <t>N/A</t>
        </is>
      </c>
    </row>
    <row r="6">
      <c r="A6" s="2" t="n">
        <v>5</v>
      </c>
      <c r="B6" s="2" t="inlineStr">
        <is>
          <t>259960</t>
        </is>
      </c>
      <c r="C6" s="2" t="inlineStr">
        <is>
          <t>크래프톤</t>
        </is>
      </c>
      <c r="D6" s="6" t="n">
        <v>0.09846796657381617</v>
      </c>
      <c r="E6" s="8" t="inlineStr">
        <is>
          <t>강력매수</t>
        </is>
      </c>
      <c r="F6" s="4" t="n">
        <v>0.7070000000000001</v>
      </c>
      <c r="G6" s="5" t="n">
        <v>0.059</v>
      </c>
      <c r="H6" s="2" t="inlineStr">
        <is>
          <t>N/A</t>
        </is>
      </c>
      <c r="I6" s="9" t="n"/>
      <c r="J6" s="6" t="n">
        <v>0.191</v>
      </c>
      <c r="K6" s="9" t="n"/>
      <c r="L6" s="2" t="inlineStr">
        <is>
          <t>3/3</t>
        </is>
      </c>
      <c r="M6" s="2" t="inlineStr">
        <is>
          <t>N/A</t>
        </is>
      </c>
    </row>
    <row r="7">
      <c r="A7" s="2" t="n">
        <v>6</v>
      </c>
      <c r="B7" s="2" t="inlineStr">
        <is>
          <t>003230</t>
        </is>
      </c>
      <c r="C7" s="2" t="inlineStr">
        <is>
          <t>삼양식품</t>
        </is>
      </c>
      <c r="D7" s="6" t="n">
        <v>0.09846796657381617</v>
      </c>
      <c r="E7" s="8" t="inlineStr">
        <is>
          <t>매수</t>
        </is>
      </c>
      <c r="F7" s="4" t="n">
        <v>0.7070000000000001</v>
      </c>
      <c r="G7" s="5" t="n">
        <v>0.046</v>
      </c>
      <c r="H7" s="2" t="inlineStr">
        <is>
          <t>N/A</t>
        </is>
      </c>
      <c r="I7" s="9" t="n"/>
      <c r="J7" s="6" t="n">
        <v>0.328</v>
      </c>
      <c r="K7" s="9" t="n"/>
      <c r="L7" s="2" t="inlineStr">
        <is>
          <t>2/3</t>
        </is>
      </c>
      <c r="M7" s="2" t="inlineStr">
        <is>
          <t>N/A</t>
        </is>
      </c>
    </row>
    <row r="8">
      <c r="A8" s="2" t="n">
        <v>7</v>
      </c>
      <c r="B8" s="2" t="inlineStr">
        <is>
          <t>257720</t>
        </is>
      </c>
      <c r="C8" s="2" t="inlineStr">
        <is>
          <t>실리콘투</t>
        </is>
      </c>
      <c r="D8" s="6" t="n">
        <v>0.0979108635097493</v>
      </c>
      <c r="E8" s="8" t="inlineStr">
        <is>
          <t>매수</t>
        </is>
      </c>
      <c r="F8" s="4" t="n">
        <v>0.703</v>
      </c>
      <c r="G8" s="5" t="n">
        <v>0.052</v>
      </c>
      <c r="H8" s="2" t="inlineStr">
        <is>
          <t>N/A</t>
        </is>
      </c>
      <c r="I8" s="9" t="n"/>
      <c r="J8" s="6" t="n">
        <v>0.462</v>
      </c>
      <c r="K8" s="9" t="n"/>
      <c r="L8" s="2" t="inlineStr">
        <is>
          <t>2/3</t>
        </is>
      </c>
      <c r="M8" s="2" t="inlineStr">
        <is>
          <t>N/A</t>
        </is>
      </c>
    </row>
    <row r="9">
      <c r="A9" s="2" t="n">
        <v>8</v>
      </c>
      <c r="B9" s="2" t="inlineStr">
        <is>
          <t>214150</t>
        </is>
      </c>
      <c r="C9" s="2" t="inlineStr">
        <is>
          <t>클래시스</t>
        </is>
      </c>
      <c r="D9" s="6" t="n">
        <v>0.09651810584958218</v>
      </c>
      <c r="E9" s="8" t="inlineStr">
        <is>
          <t>강력매수</t>
        </is>
      </c>
      <c r="F9" s="4" t="n">
        <v>0.6929999999999999</v>
      </c>
      <c r="G9" s="5" t="n">
        <v>0.053</v>
      </c>
      <c r="H9" s="2" t="inlineStr">
        <is>
          <t>N/A</t>
        </is>
      </c>
      <c r="I9" s="9" t="n"/>
      <c r="J9" s="6" t="n">
        <v>0.215</v>
      </c>
      <c r="K9" s="9" t="n"/>
      <c r="L9" s="2" t="inlineStr">
        <is>
          <t>3/3</t>
        </is>
      </c>
      <c r="M9" s="2" t="inlineStr">
        <is>
          <t>N/A</t>
        </is>
      </c>
    </row>
    <row r="10">
      <c r="A10" s="2" t="n">
        <v>9</v>
      </c>
      <c r="B10" s="2" t="inlineStr">
        <is>
          <t>278470</t>
        </is>
      </c>
      <c r="C10" s="2" t="inlineStr">
        <is>
          <t>에이피알</t>
        </is>
      </c>
      <c r="D10" s="6" t="n">
        <v>0.09610027855153204</v>
      </c>
      <c r="E10" s="8" t="inlineStr">
        <is>
          <t>매수</t>
        </is>
      </c>
      <c r="F10" s="4" t="n">
        <v>0.6899999999999999</v>
      </c>
      <c r="G10" s="5" t="n">
        <v>0.048</v>
      </c>
      <c r="H10" s="2" t="inlineStr">
        <is>
          <t>N/A</t>
        </is>
      </c>
      <c r="I10" s="9" t="n"/>
      <c r="J10" s="6" t="n">
        <v>0.333</v>
      </c>
      <c r="K10" s="9" t="n"/>
      <c r="L10" s="2" t="inlineStr">
        <is>
          <t>2/3</t>
        </is>
      </c>
      <c r="M10" s="2" t="inlineStr">
        <is>
          <t>N/A</t>
        </is>
      </c>
    </row>
    <row r="11">
      <c r="A11" s="2" t="n">
        <v>10</v>
      </c>
      <c r="B11" s="2" t="inlineStr">
        <is>
          <t>326030</t>
        </is>
      </c>
      <c r="C11" s="2" t="inlineStr">
        <is>
          <t>SK바이오팜</t>
        </is>
      </c>
      <c r="D11" s="6" t="n">
        <v>0.09512534818941504</v>
      </c>
      <c r="E11" s="8" t="inlineStr">
        <is>
          <t>매수</t>
        </is>
      </c>
      <c r="F11" s="4" t="n">
        <v>0.6829999999999999</v>
      </c>
      <c r="G11" s="5" t="n">
        <v>0.045</v>
      </c>
      <c r="H11" s="2" t="inlineStr">
        <is>
          <t>N/A</t>
        </is>
      </c>
      <c r="I11" s="9" t="n"/>
      <c r="J11" s="6" t="n">
        <v>0.395</v>
      </c>
      <c r="K11" s="9" t="n"/>
      <c r="L11" s="2" t="inlineStr">
        <is>
          <t>2/3</t>
        </is>
      </c>
      <c r="M11" s="2" t="inlineStr">
        <is>
          <t>N/A</t>
        </is>
      </c>
    </row>
    <row r="12">
      <c r="A12" s="10" t="inlineStr">
        <is>
          <t>합계/평균</t>
        </is>
      </c>
      <c r="B12" s="10" t="n"/>
      <c r="C12" s="10" t="n"/>
      <c r="D12" s="11">
        <f>SUM(D2:D11)</f>
        <v/>
      </c>
      <c r="E12" s="10" t="n"/>
      <c r="F12" s="12">
        <f>SUMPRODUCT(D2:D11,F2:F11)/SUM(D2:D11)</f>
        <v/>
      </c>
      <c r="G12" s="13">
        <f>SUMPRODUCT(D2:D11,G2:G11)/SUM(D2:D11)</f>
        <v/>
      </c>
      <c r="H12" s="10" t="n"/>
      <c r="I12" s="14" t="n"/>
      <c r="J12" s="11" t="n"/>
      <c r="K12" s="14" t="n"/>
      <c r="L12" s="10" t="n"/>
      <c r="M12" s="10" t="n"/>
    </row>
  </sheetData>
  <autoFilter ref="A1:M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2" customWidth="1" min="10" max="10"/>
    <col width="8" customWidth="1" min="11" max="11"/>
    <col width="8" customWidth="1" min="12" max="12"/>
    <col width="8" customWidth="1" min="13" max="13"/>
    <col width="12" customWidth="1" min="14" max="14"/>
    <col width="8" customWidth="1" min="15" max="15"/>
    <col width="10" customWidth="1" min="16" max="16"/>
  </cols>
  <sheetData>
    <row r="1">
      <c r="A1" s="7" t="inlineStr">
        <is>
          <t>순위</t>
        </is>
      </c>
      <c r="B1" s="7" t="inlineStr">
        <is>
          <t>종목코드</t>
        </is>
      </c>
      <c r="C1" s="7" t="inlineStr">
        <is>
          <t>회사명</t>
        </is>
      </c>
      <c r="D1" s="7" t="inlineStr">
        <is>
          <t>종합점수</t>
        </is>
      </c>
      <c r="E1" s="7" t="inlineStr">
        <is>
          <t>펀더멘털</t>
        </is>
      </c>
      <c r="F1" s="7" t="inlineStr">
        <is>
          <t>모멘텀</t>
        </is>
      </c>
      <c r="G1" s="7" t="inlineStr">
        <is>
          <t>앙상블</t>
        </is>
      </c>
      <c r="H1" s="7" t="inlineStr">
        <is>
          <t>신호</t>
        </is>
      </c>
      <c r="I1" s="7" t="inlineStr">
        <is>
          <t>예상수익률</t>
        </is>
      </c>
      <c r="J1" s="7" t="inlineStr">
        <is>
          <t>시가총액</t>
        </is>
      </c>
      <c r="K1" s="7" t="inlineStr">
        <is>
          <t>P/E</t>
        </is>
      </c>
      <c r="L1" s="7" t="inlineStr">
        <is>
          <t>P/B</t>
        </is>
      </c>
      <c r="M1" s="7" t="inlineStr">
        <is>
          <t>ROE</t>
        </is>
      </c>
      <c r="N1" s="7" t="inlineStr">
        <is>
          <t>매출성장률</t>
        </is>
      </c>
      <c r="O1" s="7" t="inlineStr">
        <is>
          <t>PEG</t>
        </is>
      </c>
      <c r="P1" s="7" t="inlineStr">
        <is>
          <t>편입여부</t>
        </is>
      </c>
    </row>
    <row r="2">
      <c r="A2" s="8" t="n">
        <v>1</v>
      </c>
      <c r="B2" s="8" t="inlineStr">
        <is>
          <t>033100</t>
        </is>
      </c>
      <c r="C2" s="8" t="inlineStr">
        <is>
          <t>제룡전기</t>
        </is>
      </c>
      <c r="D2" s="15" t="n">
        <v>5.07</v>
      </c>
      <c r="E2" s="16" t="n">
        <v>5.1</v>
      </c>
      <c r="F2" s="16" t="n">
        <v>5</v>
      </c>
      <c r="G2" s="16" t="n">
        <v>5.67</v>
      </c>
      <c r="H2" s="8" t="inlineStr">
        <is>
          <t>매수</t>
        </is>
      </c>
      <c r="I2" s="17" t="n">
        <v>0.07200000000000001</v>
      </c>
      <c r="J2" s="8" t="inlineStr">
        <is>
          <t>N/A</t>
        </is>
      </c>
      <c r="K2" s="16" t="n"/>
      <c r="L2" s="16" t="n"/>
      <c r="M2" s="18" t="n">
        <v>0.406</v>
      </c>
      <c r="N2" s="18" t="n">
        <v>0.428</v>
      </c>
      <c r="O2" s="16" t="n"/>
      <c r="P2" s="8" t="inlineStr">
        <is>
          <t>예</t>
        </is>
      </c>
    </row>
    <row r="3">
      <c r="A3" s="2" t="n">
        <v>2</v>
      </c>
      <c r="B3" s="2" t="inlineStr">
        <is>
          <t>042700</t>
        </is>
      </c>
      <c r="C3" s="2" t="inlineStr">
        <is>
          <t>한미반도체</t>
        </is>
      </c>
      <c r="D3" s="19" t="n">
        <v>4.92</v>
      </c>
      <c r="E3" s="9" t="n">
        <v>4.88</v>
      </c>
      <c r="F3" s="9" t="n">
        <v>5</v>
      </c>
      <c r="G3" s="9" t="n">
        <v>5.43</v>
      </c>
      <c r="H3" s="2" t="inlineStr">
        <is>
          <t>보유</t>
        </is>
      </c>
      <c r="I3" s="5" t="n">
        <v>0.067</v>
      </c>
      <c r="J3" s="2" t="inlineStr">
        <is>
          <t>N/A</t>
        </is>
      </c>
      <c r="K3" s="9" t="n"/>
      <c r="L3" s="9" t="n"/>
      <c r="M3" s="6" t="n">
        <v>0.282</v>
      </c>
      <c r="N3" s="6" t="n">
        <v>2.515</v>
      </c>
      <c r="O3" s="9" t="n"/>
      <c r="P3" s="2" t="inlineStr">
        <is>
          <t>아니오</t>
        </is>
      </c>
    </row>
    <row r="4">
      <c r="A4" s="8" t="n">
        <v>3</v>
      </c>
      <c r="B4" s="8" t="inlineStr">
        <is>
          <t>348210</t>
        </is>
      </c>
      <c r="C4" s="8" t="inlineStr">
        <is>
          <t>넥스틴</t>
        </is>
      </c>
      <c r="D4" s="15" t="n">
        <v>4.9</v>
      </c>
      <c r="E4" s="16" t="n">
        <v>4.86</v>
      </c>
      <c r="F4" s="16" t="n">
        <v>5</v>
      </c>
      <c r="G4" s="16" t="n">
        <v>5.54</v>
      </c>
      <c r="H4" s="8" t="inlineStr">
        <is>
          <t>보유</t>
        </is>
      </c>
      <c r="I4" s="17" t="n">
        <v>0.067</v>
      </c>
      <c r="J4" s="8" t="inlineStr">
        <is>
          <t>N/A</t>
        </is>
      </c>
      <c r="K4" s="16" t="n"/>
      <c r="L4" s="16" t="n"/>
      <c r="M4" s="18" t="n">
        <v>0.244</v>
      </c>
      <c r="N4" s="18" t="n">
        <v>0.293</v>
      </c>
      <c r="O4" s="16" t="n"/>
      <c r="P4" s="8" t="inlineStr">
        <is>
          <t>예</t>
        </is>
      </c>
    </row>
    <row r="5">
      <c r="A5" s="8" t="n">
        <v>4</v>
      </c>
      <c r="B5" s="8" t="inlineStr">
        <is>
          <t>018290</t>
        </is>
      </c>
      <c r="C5" s="8" t="inlineStr">
        <is>
          <t>브이티</t>
        </is>
      </c>
      <c r="D5" s="15" t="n">
        <v>4.88</v>
      </c>
      <c r="E5" s="16" t="n">
        <v>4.83</v>
      </c>
      <c r="F5" s="16" t="n">
        <v>5</v>
      </c>
      <c r="G5" s="16" t="n">
        <v>5.41</v>
      </c>
      <c r="H5" s="8" t="inlineStr">
        <is>
          <t>보유</t>
        </is>
      </c>
      <c r="I5" s="17" t="n">
        <v>0.066</v>
      </c>
      <c r="J5" s="8" t="inlineStr">
        <is>
          <t>N/A</t>
        </is>
      </c>
      <c r="K5" s="16" t="n"/>
      <c r="L5" s="16" t="n"/>
      <c r="M5" s="18" t="n">
        <v>0.4320000000000001</v>
      </c>
      <c r="N5" s="18" t="n">
        <v>0.461</v>
      </c>
      <c r="O5" s="16" t="n"/>
      <c r="P5" s="8" t="inlineStr">
        <is>
          <t>예</t>
        </is>
      </c>
    </row>
    <row r="6">
      <c r="A6" s="2" t="n">
        <v>5</v>
      </c>
      <c r="B6" s="2" t="inlineStr">
        <is>
          <t>031980</t>
        </is>
      </c>
      <c r="C6" s="2" t="inlineStr">
        <is>
          <t>피에스케이홀딩스</t>
        </is>
      </c>
      <c r="D6" s="19" t="n">
        <v>4.74</v>
      </c>
      <c r="E6" s="9" t="n">
        <v>4.63</v>
      </c>
      <c r="F6" s="9" t="n">
        <v>5</v>
      </c>
      <c r="G6" s="9" t="n">
        <v>5.41</v>
      </c>
      <c r="H6" s="2" t="inlineStr">
        <is>
          <t>보유</t>
        </is>
      </c>
      <c r="I6" s="5" t="n">
        <v>0.061</v>
      </c>
      <c r="J6" s="2" t="inlineStr">
        <is>
          <t>N/A</t>
        </is>
      </c>
      <c r="K6" s="9" t="n"/>
      <c r="L6" s="9" t="n"/>
      <c r="M6" s="6" t="n">
        <v>0.222</v>
      </c>
      <c r="N6" s="6" t="n">
        <v>1.275</v>
      </c>
      <c r="O6" s="9" t="n"/>
      <c r="P6" s="2" t="inlineStr">
        <is>
          <t>아니오</t>
        </is>
      </c>
    </row>
    <row r="7">
      <c r="A7" s="8" t="n">
        <v>6</v>
      </c>
      <c r="B7" s="8" t="inlineStr">
        <is>
          <t>259960</t>
        </is>
      </c>
      <c r="C7" s="8" t="inlineStr">
        <is>
          <t>크래프톤</t>
        </is>
      </c>
      <c r="D7" s="15" t="n">
        <v>4.7</v>
      </c>
      <c r="E7" s="16" t="n">
        <v>4.57</v>
      </c>
      <c r="F7" s="16" t="n">
        <v>5</v>
      </c>
      <c r="G7" s="16" t="n">
        <v>5.32</v>
      </c>
      <c r="H7" s="8" t="inlineStr">
        <is>
          <t>보유</t>
        </is>
      </c>
      <c r="I7" s="17" t="n">
        <v>0.059</v>
      </c>
      <c r="J7" s="8" t="inlineStr">
        <is>
          <t>N/A</t>
        </is>
      </c>
      <c r="K7" s="16" t="n"/>
      <c r="L7" s="16" t="n"/>
      <c r="M7" s="18" t="n">
        <v>0.191</v>
      </c>
      <c r="N7" s="18" t="n">
        <v>0.418</v>
      </c>
      <c r="O7" s="16" t="n"/>
      <c r="P7" s="8" t="inlineStr">
        <is>
          <t>예</t>
        </is>
      </c>
    </row>
    <row r="8">
      <c r="A8" s="8" t="n">
        <v>7</v>
      </c>
      <c r="B8" s="8" t="inlineStr">
        <is>
          <t>062040</t>
        </is>
      </c>
      <c r="C8" s="8" t="inlineStr">
        <is>
          <t>산일전기</t>
        </is>
      </c>
      <c r="D8" s="15" t="n">
        <v>4.7</v>
      </c>
      <c r="E8" s="16" t="n">
        <v>4.57</v>
      </c>
      <c r="F8" s="16" t="n">
        <v>5</v>
      </c>
      <c r="G8" s="16" t="n">
        <v>5.32</v>
      </c>
      <c r="H8" s="8" t="inlineStr">
        <is>
          <t>보유</t>
        </is>
      </c>
      <c r="I8" s="17" t="n">
        <v>0.059</v>
      </c>
      <c r="J8" s="8" t="inlineStr">
        <is>
          <t>N/A</t>
        </is>
      </c>
      <c r="K8" s="16" t="n"/>
      <c r="L8" s="16" t="n"/>
      <c r="M8" s="18" t="n">
        <v>0.193</v>
      </c>
      <c r="N8" s="18" t="n">
        <v>0.5570000000000001</v>
      </c>
      <c r="O8" s="16" t="n"/>
      <c r="P8" s="8" t="inlineStr">
        <is>
          <t>예</t>
        </is>
      </c>
    </row>
    <row r="9">
      <c r="A9" s="8" t="n">
        <v>8</v>
      </c>
      <c r="B9" s="8" t="inlineStr">
        <is>
          <t>214150</t>
        </is>
      </c>
      <c r="C9" s="8" t="inlineStr">
        <is>
          <t>클래시스</t>
        </is>
      </c>
      <c r="D9" s="15" t="n">
        <v>4.51</v>
      </c>
      <c r="E9" s="16" t="n">
        <v>4.29</v>
      </c>
      <c r="F9" s="16" t="n">
        <v>5</v>
      </c>
      <c r="G9" s="16" t="n">
        <v>5.06</v>
      </c>
      <c r="H9" s="8" t="inlineStr">
        <is>
          <t>보유</t>
        </is>
      </c>
      <c r="I9" s="17" t="n">
        <v>0.053</v>
      </c>
      <c r="J9" s="8" t="inlineStr">
        <is>
          <t>N/A</t>
        </is>
      </c>
      <c r="K9" s="16" t="n"/>
      <c r="L9" s="16" t="n"/>
      <c r="M9" s="18" t="n">
        <v>0.215</v>
      </c>
      <c r="N9" s="18" t="n">
        <v>0.349</v>
      </c>
      <c r="O9" s="16" t="n"/>
      <c r="P9" s="8" t="inlineStr">
        <is>
          <t>예</t>
        </is>
      </c>
    </row>
    <row r="10">
      <c r="A10" s="2" t="n">
        <v>9</v>
      </c>
      <c r="B10" s="2" t="inlineStr">
        <is>
          <t>000660</t>
        </is>
      </c>
      <c r="C10" s="2" t="inlineStr">
        <is>
          <t>SK하이닉스</t>
        </is>
      </c>
      <c r="D10" s="19" t="n">
        <v>4.48</v>
      </c>
      <c r="E10" s="9" t="n">
        <v>4.26</v>
      </c>
      <c r="F10" s="9" t="n">
        <v>5</v>
      </c>
      <c r="G10" s="9" t="n">
        <v>4.74</v>
      </c>
      <c r="H10" s="2" t="inlineStr">
        <is>
          <t>보유</t>
        </is>
      </c>
      <c r="I10" s="5" t="n">
        <v>0.052</v>
      </c>
      <c r="J10" s="2" t="inlineStr">
        <is>
          <t>N/A</t>
        </is>
      </c>
      <c r="K10" s="9" t="n"/>
      <c r="L10" s="9" t="n"/>
      <c r="M10" s="6" t="n">
        <v>0.268</v>
      </c>
      <c r="N10" s="6" t="n">
        <v>1.02</v>
      </c>
      <c r="O10" s="9" t="n"/>
      <c r="P10" s="2" t="inlineStr">
        <is>
          <t>아니오</t>
        </is>
      </c>
    </row>
    <row r="11">
      <c r="A11" s="8" t="n">
        <v>10</v>
      </c>
      <c r="B11" s="8" t="inlineStr">
        <is>
          <t>257720</t>
        </is>
      </c>
      <c r="C11" s="8" t="inlineStr">
        <is>
          <t>실리콘투</t>
        </is>
      </c>
      <c r="D11" s="15" t="n">
        <v>4.48</v>
      </c>
      <c r="E11" s="16" t="n">
        <v>4.26</v>
      </c>
      <c r="F11" s="16" t="n">
        <v>5</v>
      </c>
      <c r="G11" s="16" t="n">
        <v>4.67</v>
      </c>
      <c r="H11" s="8" t="inlineStr">
        <is>
          <t>보유</t>
        </is>
      </c>
      <c r="I11" s="17" t="n">
        <v>0.052</v>
      </c>
      <c r="J11" s="8" t="inlineStr">
        <is>
          <t>N/A</t>
        </is>
      </c>
      <c r="K11" s="16" t="n"/>
      <c r="L11" s="16" t="n"/>
      <c r="M11" s="18" t="n">
        <v>0.462</v>
      </c>
      <c r="N11" s="18" t="n">
        <v>1.017</v>
      </c>
      <c r="O11" s="16" t="n"/>
      <c r="P11" s="8" t="inlineStr">
        <is>
          <t>예</t>
        </is>
      </c>
    </row>
    <row r="12">
      <c r="A12" s="2" t="n">
        <v>11</v>
      </c>
      <c r="B12" s="2" t="inlineStr">
        <is>
          <t>443060</t>
        </is>
      </c>
      <c r="C12" s="2" t="inlineStr">
        <is>
          <t>HD현대마린솔루션</t>
        </is>
      </c>
      <c r="D12" s="19" t="n">
        <v>4.42</v>
      </c>
      <c r="E12" s="9" t="n">
        <v>4.17</v>
      </c>
      <c r="F12" s="9" t="n">
        <v>5</v>
      </c>
      <c r="G12" s="9" t="n">
        <v>4.79</v>
      </c>
      <c r="H12" s="2" t="inlineStr">
        <is>
          <t>보유</t>
        </is>
      </c>
      <c r="I12" s="5" t="n">
        <v>0.05</v>
      </c>
      <c r="J12" s="2" t="inlineStr">
        <is>
          <t>N/A</t>
        </is>
      </c>
      <c r="K12" s="9" t="n"/>
      <c r="L12" s="9" t="n"/>
      <c r="M12" s="6" t="n">
        <v>0.295</v>
      </c>
      <c r="N12" s="6" t="n">
        <v>0.22</v>
      </c>
      <c r="O12" s="9" t="n"/>
      <c r="P12" s="2" t="inlineStr">
        <is>
          <t>아니오</t>
        </is>
      </c>
    </row>
    <row r="13">
      <c r="A13" s="2" t="n">
        <v>12</v>
      </c>
      <c r="B13" s="2" t="inlineStr">
        <is>
          <t>036620</t>
        </is>
      </c>
      <c r="C13" s="2" t="inlineStr">
        <is>
          <t>감성코퍼레이션</t>
        </is>
      </c>
      <c r="D13" s="19" t="n">
        <v>4.42</v>
      </c>
      <c r="E13" s="9" t="n">
        <v>4.17</v>
      </c>
      <c r="F13" s="9" t="n">
        <v>5</v>
      </c>
      <c r="G13" s="9" t="n">
        <v>4.79</v>
      </c>
      <c r="H13" s="2" t="inlineStr">
        <is>
          <t>보유</t>
        </is>
      </c>
      <c r="I13" s="5" t="n">
        <v>0.05</v>
      </c>
      <c r="J13" s="2" t="inlineStr">
        <is>
          <t>N/A</t>
        </is>
      </c>
      <c r="K13" s="9" t="n"/>
      <c r="L13" s="9" t="n"/>
      <c r="M13" s="6" t="n">
        <v>0.26</v>
      </c>
      <c r="N13" s="6" t="n">
        <v>0.239</v>
      </c>
      <c r="O13" s="9" t="n"/>
      <c r="P13" s="2" t="inlineStr">
        <is>
          <t>아니오</t>
        </is>
      </c>
    </row>
    <row r="14">
      <c r="A14" s="8" t="n">
        <v>13</v>
      </c>
      <c r="B14" s="8" t="inlineStr">
        <is>
          <t>278470</t>
        </is>
      </c>
      <c r="C14" s="8" t="inlineStr">
        <is>
          <t>에이피알</t>
        </is>
      </c>
      <c r="D14" s="15" t="n">
        <v>4.37</v>
      </c>
      <c r="E14" s="16" t="n">
        <v>4.1</v>
      </c>
      <c r="F14" s="16" t="n">
        <v>5</v>
      </c>
      <c r="G14" s="16" t="n">
        <v>4.53</v>
      </c>
      <c r="H14" s="8" t="inlineStr">
        <is>
          <t>보유</t>
        </is>
      </c>
      <c r="I14" s="17" t="n">
        <v>0.048</v>
      </c>
      <c r="J14" s="8" t="inlineStr">
        <is>
          <t>N/A</t>
        </is>
      </c>
      <c r="K14" s="16" t="n"/>
      <c r="L14" s="16" t="n"/>
      <c r="M14" s="18" t="n">
        <v>0.333</v>
      </c>
      <c r="N14" s="18" t="n">
        <v>0.38</v>
      </c>
      <c r="O14" s="16" t="n"/>
      <c r="P14" s="8" t="inlineStr">
        <is>
          <t>예</t>
        </is>
      </c>
    </row>
    <row r="15">
      <c r="A15" s="2" t="n">
        <v>14</v>
      </c>
      <c r="B15" s="2" t="inlineStr">
        <is>
          <t>067160</t>
        </is>
      </c>
      <c r="C15" s="2" t="inlineStr">
        <is>
          <t>SOOP</t>
        </is>
      </c>
      <c r="D15" s="19" t="n">
        <v>4.36</v>
      </c>
      <c r="E15" s="9" t="n">
        <v>4.09</v>
      </c>
      <c r="F15" s="9" t="n">
        <v>5</v>
      </c>
      <c r="G15" s="9" t="n">
        <v>4.51</v>
      </c>
      <c r="H15" s="2" t="inlineStr">
        <is>
          <t>보유</t>
        </is>
      </c>
      <c r="I15" s="5" t="n">
        <v>0.048</v>
      </c>
      <c r="J15" s="2" t="inlineStr">
        <is>
          <t>N/A</t>
        </is>
      </c>
      <c r="K15" s="9" t="n"/>
      <c r="L15" s="9" t="n"/>
      <c r="M15" s="6" t="n">
        <v>0.268</v>
      </c>
      <c r="N15" s="6" t="n">
        <v>0.201</v>
      </c>
      <c r="O15" s="9" t="n"/>
      <c r="P15" s="2" t="inlineStr">
        <is>
          <t>아니오</t>
        </is>
      </c>
    </row>
    <row r="16">
      <c r="A16" s="8" t="n">
        <v>15</v>
      </c>
      <c r="B16" s="8" t="inlineStr">
        <is>
          <t>003230</t>
        </is>
      </c>
      <c r="C16" s="8" t="inlineStr">
        <is>
          <t>삼양식품</t>
        </is>
      </c>
      <c r="D16" s="15" t="n">
        <v>4.33</v>
      </c>
      <c r="E16" s="16" t="n">
        <v>4.04</v>
      </c>
      <c r="F16" s="16" t="n">
        <v>5</v>
      </c>
      <c r="G16" s="16" t="n">
        <v>4.5</v>
      </c>
      <c r="H16" s="8" t="inlineStr">
        <is>
          <t>보유</t>
        </is>
      </c>
      <c r="I16" s="17" t="n">
        <v>0.046</v>
      </c>
      <c r="J16" s="8" t="inlineStr">
        <is>
          <t>N/A</t>
        </is>
      </c>
      <c r="K16" s="16" t="n"/>
      <c r="L16" s="16" t="n"/>
      <c r="M16" s="18" t="n">
        <v>0.328</v>
      </c>
      <c r="N16" s="18" t="n">
        <v>0.449</v>
      </c>
      <c r="O16" s="16" t="n"/>
      <c r="P16" s="8" t="inlineStr">
        <is>
          <t>예</t>
        </is>
      </c>
    </row>
    <row r="17">
      <c r="A17" s="2" t="n">
        <v>16</v>
      </c>
      <c r="B17" s="2" t="inlineStr">
        <is>
          <t>145020</t>
        </is>
      </c>
      <c r="C17" s="2" t="inlineStr">
        <is>
          <t>휴젤</t>
        </is>
      </c>
      <c r="D17" s="19" t="n">
        <v>4.33</v>
      </c>
      <c r="E17" s="9" t="n">
        <v>4.04</v>
      </c>
      <c r="F17" s="9" t="n">
        <v>5</v>
      </c>
      <c r="G17" s="9" t="n">
        <v>4.83</v>
      </c>
      <c r="H17" s="2" t="inlineStr">
        <is>
          <t>보유</t>
        </is>
      </c>
      <c r="I17" s="5" t="n">
        <v>0.046</v>
      </c>
      <c r="J17" s="2" t="inlineStr">
        <is>
          <t>N/A</t>
        </is>
      </c>
      <c r="K17" s="9" t="n"/>
      <c r="L17" s="9" t="n"/>
      <c r="M17" s="6" t="n">
        <v>0.17</v>
      </c>
      <c r="N17" s="6" t="n">
        <v>0.167</v>
      </c>
      <c r="O17" s="9" t="n"/>
      <c r="P17" s="2" t="inlineStr">
        <is>
          <t>아니오</t>
        </is>
      </c>
    </row>
    <row r="18">
      <c r="A18" s="8" t="n">
        <v>17</v>
      </c>
      <c r="B18" s="8" t="inlineStr">
        <is>
          <t>326030</t>
        </is>
      </c>
      <c r="C18" s="8" t="inlineStr">
        <is>
          <t>SK바이오팜</t>
        </is>
      </c>
      <c r="D18" s="15" t="n">
        <v>4.28</v>
      </c>
      <c r="E18" s="16" t="n">
        <v>3.97</v>
      </c>
      <c r="F18" s="16" t="n">
        <v>5</v>
      </c>
      <c r="G18" s="16" t="n">
        <v>4.59</v>
      </c>
      <c r="H18" s="8" t="inlineStr">
        <is>
          <t>보유</t>
        </is>
      </c>
      <c r="I18" s="17" t="n">
        <v>0.045</v>
      </c>
      <c r="J18" s="8" t="inlineStr">
        <is>
          <t>N/A</t>
        </is>
      </c>
      <c r="K18" s="16" t="n"/>
      <c r="L18" s="16" t="n"/>
      <c r="M18" s="18" t="n">
        <v>0.395</v>
      </c>
      <c r="N18" s="18" t="n">
        <v>0.5429999999999999</v>
      </c>
      <c r="O18" s="16" t="n"/>
      <c r="P18" s="8" t="inlineStr">
        <is>
          <t>예</t>
        </is>
      </c>
    </row>
    <row r="19">
      <c r="A19" s="2" t="n">
        <v>18</v>
      </c>
      <c r="B19" s="2" t="inlineStr">
        <is>
          <t>214450</t>
        </is>
      </c>
      <c r="C19" s="2" t="inlineStr">
        <is>
          <t>파마리서치</t>
        </is>
      </c>
      <c r="D19" s="19" t="n">
        <v>4.28</v>
      </c>
      <c r="E19" s="9" t="n">
        <v>3.97</v>
      </c>
      <c r="F19" s="9" t="n">
        <v>5</v>
      </c>
      <c r="G19" s="9" t="n">
        <v>4.58</v>
      </c>
      <c r="H19" s="2" t="inlineStr">
        <is>
          <t>보유</t>
        </is>
      </c>
      <c r="I19" s="5" t="n">
        <v>0.045</v>
      </c>
      <c r="J19" s="2" t="inlineStr">
        <is>
          <t>N/A</t>
        </is>
      </c>
      <c r="K19" s="9" t="n"/>
      <c r="L19" s="9" t="n"/>
      <c r="M19" s="6" t="n">
        <v>0.156</v>
      </c>
      <c r="N19" s="6" t="n">
        <v>0.341</v>
      </c>
      <c r="O19" s="9" t="n"/>
      <c r="P19" s="2" t="inlineStr">
        <is>
          <t>아니오</t>
        </is>
      </c>
    </row>
    <row r="20">
      <c r="A20" s="2" t="n">
        <v>19</v>
      </c>
      <c r="B20" s="2" t="inlineStr">
        <is>
          <t>140860</t>
        </is>
      </c>
      <c r="C20" s="2" t="inlineStr">
        <is>
          <t>파크시스템스</t>
        </is>
      </c>
      <c r="D20" s="19" t="n">
        <v>4.25</v>
      </c>
      <c r="E20" s="9" t="n">
        <v>3.93</v>
      </c>
      <c r="F20" s="9" t="n">
        <v>5</v>
      </c>
      <c r="G20" s="9" t="n">
        <v>4.78</v>
      </c>
      <c r="H20" s="2" t="inlineStr">
        <is>
          <t>보유</t>
        </is>
      </c>
      <c r="I20" s="5" t="n">
        <v>0.044</v>
      </c>
      <c r="J20" s="2" t="inlineStr">
        <is>
          <t>N/A</t>
        </is>
      </c>
      <c r="K20" s="9" t="n"/>
      <c r="L20" s="9" t="n"/>
      <c r="M20" s="6" t="n">
        <v>0.228</v>
      </c>
      <c r="N20" s="6" t="n">
        <v>0.209</v>
      </c>
      <c r="O20" s="9" t="n"/>
      <c r="P20" s="2" t="inlineStr">
        <is>
          <t>아니오</t>
        </is>
      </c>
    </row>
    <row r="21">
      <c r="A21" s="2" t="n">
        <v>20</v>
      </c>
      <c r="B21" s="2" t="inlineStr">
        <is>
          <t>011200</t>
        </is>
      </c>
      <c r="C21" s="2" t="inlineStr">
        <is>
          <t>HMM</t>
        </is>
      </c>
      <c r="D21" s="19" t="n">
        <v>4.22</v>
      </c>
      <c r="E21" s="9" t="n">
        <v>3.89</v>
      </c>
      <c r="F21" s="9" t="n">
        <v>5</v>
      </c>
      <c r="G21" s="9" t="n">
        <v>4.44</v>
      </c>
      <c r="H21" s="2" t="inlineStr">
        <is>
          <t>보유</t>
        </is>
      </c>
      <c r="I21" s="5" t="n">
        <v>0.043</v>
      </c>
      <c r="J21" s="2" t="inlineStr">
        <is>
          <t>N/A</t>
        </is>
      </c>
      <c r="K21" s="9" t="n"/>
      <c r="L21" s="9" t="n"/>
      <c r="M21" s="6" t="n">
        <v>0.136</v>
      </c>
      <c r="N21" s="6" t="n">
        <v>0.393</v>
      </c>
      <c r="O21" s="9" t="n"/>
      <c r="P21" s="2" t="inlineStr">
        <is>
          <t>아니오</t>
        </is>
      </c>
    </row>
    <row r="22">
      <c r="A22" s="2" t="n">
        <v>21</v>
      </c>
      <c r="B22" s="2" t="inlineStr">
        <is>
          <t>058470</t>
        </is>
      </c>
      <c r="C22" s="2" t="inlineStr">
        <is>
          <t>리노공업</t>
        </is>
      </c>
      <c r="D22" s="19" t="n">
        <v>4.18</v>
      </c>
      <c r="E22" s="9" t="n">
        <v>3.83</v>
      </c>
      <c r="F22" s="9" t="n">
        <v>5</v>
      </c>
      <c r="G22" s="9" t="n">
        <v>4.48</v>
      </c>
      <c r="H22" s="2" t="inlineStr">
        <is>
          <t>보유</t>
        </is>
      </c>
      <c r="I22" s="5" t="n">
        <v>0.04099999999999999</v>
      </c>
      <c r="J22" s="2" t="inlineStr">
        <is>
          <t>N/A</t>
        </is>
      </c>
      <c r="K22" s="9" t="n"/>
      <c r="L22" s="9" t="n"/>
      <c r="M22" s="6" t="n">
        <v>0.182</v>
      </c>
      <c r="N22" s="6" t="n">
        <v>0.08800000000000001</v>
      </c>
      <c r="O22" s="9" t="n"/>
      <c r="P22" s="2" t="inlineStr">
        <is>
          <t>아니오</t>
        </is>
      </c>
    </row>
    <row r="23">
      <c r="A23" s="2" t="n">
        <v>22</v>
      </c>
      <c r="B23" s="2" t="inlineStr">
        <is>
          <t>036930</t>
        </is>
      </c>
      <c r="C23" s="2" t="inlineStr">
        <is>
          <t>주성엔지니어링</t>
        </is>
      </c>
      <c r="D23" s="19" t="n">
        <v>4.12</v>
      </c>
      <c r="E23" s="9" t="n">
        <v>3.74</v>
      </c>
      <c r="F23" s="9" t="n">
        <v>5</v>
      </c>
      <c r="G23" s="9" t="n">
        <v>4.47</v>
      </c>
      <c r="H23" s="2" t="inlineStr">
        <is>
          <t>보유</t>
        </is>
      </c>
      <c r="I23" s="5" t="n">
        <v>0.039</v>
      </c>
      <c r="J23" s="2" t="inlineStr">
        <is>
          <t>N/A</t>
        </is>
      </c>
      <c r="K23" s="9" t="n"/>
      <c r="L23" s="9" t="n"/>
      <c r="M23" s="6" t="n">
        <v>0.189</v>
      </c>
      <c r="N23" s="6" t="n">
        <v>0.4379999999999999</v>
      </c>
      <c r="O23" s="9" t="n"/>
      <c r="P23" s="2" t="inlineStr">
        <is>
          <t>아니오</t>
        </is>
      </c>
    </row>
    <row r="24">
      <c r="A24" s="2" t="n">
        <v>23</v>
      </c>
      <c r="B24" s="2" t="inlineStr">
        <is>
          <t>192080</t>
        </is>
      </c>
      <c r="C24" s="2" t="inlineStr">
        <is>
          <t>더블유게임즈</t>
        </is>
      </c>
      <c r="D24" s="19" t="n">
        <v>4.1</v>
      </c>
      <c r="E24" s="9" t="n">
        <v>3.71</v>
      </c>
      <c r="F24" s="9" t="n">
        <v>5</v>
      </c>
      <c r="G24" s="9" t="n">
        <v>4.42</v>
      </c>
      <c r="H24" s="2" t="inlineStr">
        <is>
          <t>보유</t>
        </is>
      </c>
      <c r="I24" s="5" t="n">
        <v>0.038</v>
      </c>
      <c r="J24" s="2" t="inlineStr">
        <is>
          <t>N/A</t>
        </is>
      </c>
      <c r="K24" s="9" t="n"/>
      <c r="L24" s="9" t="n"/>
      <c r="M24" s="6" t="n">
        <v>0.156</v>
      </c>
      <c r="N24" s="6" t="n">
        <v>0.08800000000000001</v>
      </c>
      <c r="O24" s="9" t="n"/>
      <c r="P24" s="2" t="inlineStr">
        <is>
          <t>아니오</t>
        </is>
      </c>
    </row>
    <row r="25">
      <c r="A25" s="2" t="n">
        <v>24</v>
      </c>
      <c r="B25" s="2" t="inlineStr">
        <is>
          <t>084370</t>
        </is>
      </c>
      <c r="C25" s="2" t="inlineStr">
        <is>
          <t>유진테크</t>
        </is>
      </c>
      <c r="D25" s="19" t="n">
        <v>4.08</v>
      </c>
      <c r="E25" s="9" t="n">
        <v>3.68</v>
      </c>
      <c r="F25" s="9" t="n">
        <v>5</v>
      </c>
      <c r="G25" s="9" t="n">
        <v>4.64</v>
      </c>
      <c r="H25" s="2" t="inlineStr">
        <is>
          <t>보유</t>
        </is>
      </c>
      <c r="I25" s="5" t="n">
        <v>0.038</v>
      </c>
      <c r="J25" s="2" t="inlineStr">
        <is>
          <t>N/A</t>
        </is>
      </c>
      <c r="K25" s="9" t="n"/>
      <c r="L25" s="9" t="n"/>
      <c r="M25" s="6" t="n">
        <v>0.15</v>
      </c>
      <c r="N25" s="6" t="n">
        <v>0.223</v>
      </c>
      <c r="O25" s="9" t="n"/>
      <c r="P25" s="2" t="inlineStr">
        <is>
          <t>아니오</t>
        </is>
      </c>
    </row>
    <row r="26">
      <c r="A26" s="2" t="n">
        <v>25</v>
      </c>
      <c r="B26" s="2" t="inlineStr">
        <is>
          <t>041190</t>
        </is>
      </c>
      <c r="C26" s="2" t="inlineStr">
        <is>
          <t>우리기술투자</t>
        </is>
      </c>
      <c r="D26" s="19" t="n">
        <v>4.06</v>
      </c>
      <c r="E26" s="9" t="n">
        <v>3.66</v>
      </c>
      <c r="F26" s="9" t="n">
        <v>5</v>
      </c>
      <c r="G26" s="9" t="n">
        <v>4.47</v>
      </c>
      <c r="H26" s="2" t="inlineStr">
        <is>
          <t>보유</t>
        </is>
      </c>
      <c r="I26" s="5" t="n">
        <v>0.03700000000000001</v>
      </c>
      <c r="J26" s="2" t="inlineStr">
        <is>
          <t>N/A</t>
        </is>
      </c>
      <c r="K26" s="9" t="n"/>
      <c r="L26" s="9" t="n"/>
      <c r="M26" s="6" t="n">
        <v>0.222</v>
      </c>
      <c r="N26" s="6" t="n">
        <v>0.126</v>
      </c>
      <c r="O26" s="9" t="n"/>
      <c r="P26" s="2" t="inlineStr">
        <is>
          <t>아니오</t>
        </is>
      </c>
    </row>
    <row r="27">
      <c r="A27" s="2" t="n">
        <v>26</v>
      </c>
      <c r="B27" s="2" t="inlineStr">
        <is>
          <t>213420</t>
        </is>
      </c>
      <c r="C27" s="2" t="inlineStr">
        <is>
          <t>덕산네오룩스</t>
        </is>
      </c>
      <c r="D27" s="19" t="n">
        <v>4.05</v>
      </c>
      <c r="E27" s="9" t="n">
        <v>3.65</v>
      </c>
      <c r="F27" s="9" t="n">
        <v>5</v>
      </c>
      <c r="G27" s="9" t="n">
        <v>4.32</v>
      </c>
      <c r="H27" s="2" t="inlineStr">
        <is>
          <t>보유</t>
        </is>
      </c>
      <c r="I27" s="5" t="n">
        <v>0.03700000000000001</v>
      </c>
      <c r="J27" s="2" t="inlineStr">
        <is>
          <t>N/A</t>
        </is>
      </c>
      <c r="K27" s="9" t="n"/>
      <c r="L27" s="9" t="n"/>
      <c r="M27" s="6" t="n">
        <v>0.115</v>
      </c>
      <c r="N27" s="6" t="n">
        <v>0.297</v>
      </c>
      <c r="O27" s="9" t="n"/>
      <c r="P27" s="2" t="inlineStr">
        <is>
          <t>아니오</t>
        </is>
      </c>
    </row>
    <row r="28">
      <c r="A28" s="2" t="n">
        <v>27</v>
      </c>
      <c r="B28" s="2" t="inlineStr">
        <is>
          <t>319660</t>
        </is>
      </c>
      <c r="C28" s="2" t="inlineStr">
        <is>
          <t>피에스케이</t>
        </is>
      </c>
      <c r="D28" s="19" t="n">
        <v>4.02</v>
      </c>
      <c r="E28" s="9" t="n">
        <v>3.6</v>
      </c>
      <c r="F28" s="9" t="n">
        <v>5</v>
      </c>
      <c r="G28" s="9" t="n">
        <v>4.5</v>
      </c>
      <c r="H28" s="2" t="inlineStr">
        <is>
          <t>보유</t>
        </is>
      </c>
      <c r="I28" s="5" t="n">
        <v>0.036</v>
      </c>
      <c r="J28" s="2" t="inlineStr">
        <is>
          <t>N/A</t>
        </is>
      </c>
      <c r="K28" s="9" t="n"/>
      <c r="L28" s="9" t="n"/>
      <c r="M28" s="6" t="n">
        <v>0.168</v>
      </c>
      <c r="N28" s="6" t="n">
        <v>0.131</v>
      </c>
      <c r="O28" s="9" t="n"/>
      <c r="P28" s="2" t="inlineStr">
        <is>
          <t>아니오</t>
        </is>
      </c>
    </row>
    <row r="29">
      <c r="A29" s="2" t="n">
        <v>28</v>
      </c>
      <c r="B29" s="2" t="inlineStr">
        <is>
          <t>095610</t>
        </is>
      </c>
      <c r="C29" s="2" t="inlineStr">
        <is>
          <t>테스</t>
        </is>
      </c>
      <c r="D29" s="19" t="n">
        <v>4.01</v>
      </c>
      <c r="E29" s="9" t="n">
        <v>3.59</v>
      </c>
      <c r="F29" s="9" t="n">
        <v>5</v>
      </c>
      <c r="G29" s="9" t="n">
        <v>4.22</v>
      </c>
      <c r="H29" s="2" t="inlineStr">
        <is>
          <t>보유</t>
        </is>
      </c>
      <c r="I29" s="5" t="n">
        <v>0.036</v>
      </c>
      <c r="J29" s="2" t="inlineStr">
        <is>
          <t>N/A</t>
        </is>
      </c>
      <c r="K29" s="9" t="n"/>
      <c r="L29" s="9" t="n"/>
      <c r="M29" s="6" t="n">
        <v>0.129</v>
      </c>
      <c r="N29" s="6" t="n">
        <v>0.634</v>
      </c>
      <c r="O29" s="9" t="n"/>
      <c r="P29" s="2" t="inlineStr">
        <is>
          <t>아니오</t>
        </is>
      </c>
    </row>
    <row r="30">
      <c r="A30" s="2" t="n">
        <v>29</v>
      </c>
      <c r="B30" s="2" t="inlineStr">
        <is>
          <t>267260</t>
        </is>
      </c>
      <c r="C30" s="2" t="inlineStr">
        <is>
          <t>HD현대일렉트릭</t>
        </is>
      </c>
      <c r="D30" s="19" t="n">
        <v>4</v>
      </c>
      <c r="E30" s="9" t="n">
        <v>3.57</v>
      </c>
      <c r="F30" s="9" t="n">
        <v>5</v>
      </c>
      <c r="G30" s="9" t="n">
        <v>3.98</v>
      </c>
      <c r="H30" s="2" t="inlineStr">
        <is>
          <t>보유</t>
        </is>
      </c>
      <c r="I30" s="5" t="n">
        <v>0.035</v>
      </c>
      <c r="J30" s="2" t="inlineStr">
        <is>
          <t>N/A</t>
        </is>
      </c>
      <c r="K30" s="9" t="n"/>
      <c r="L30" s="9" t="n"/>
      <c r="M30" s="6" t="n">
        <v>0.331</v>
      </c>
      <c r="N30" s="6" t="n">
        <v>0.229</v>
      </c>
      <c r="O30" s="9" t="n"/>
      <c r="P30" s="2" t="inlineStr">
        <is>
          <t>아니오</t>
        </is>
      </c>
    </row>
    <row r="31">
      <c r="A31" s="2" t="n">
        <v>30</v>
      </c>
      <c r="B31" s="2" t="inlineStr">
        <is>
          <t>183300</t>
        </is>
      </c>
      <c r="C31" s="2" t="inlineStr">
        <is>
          <t>코미코</t>
        </is>
      </c>
      <c r="D31" s="19" t="n">
        <v>3.92</v>
      </c>
      <c r="E31" s="9" t="n">
        <v>3.46</v>
      </c>
      <c r="F31" s="9" t="n">
        <v>5</v>
      </c>
      <c r="G31" s="9" t="n">
        <v>4.06</v>
      </c>
      <c r="H31" s="2" t="inlineStr">
        <is>
          <t>보유</t>
        </is>
      </c>
      <c r="I31" s="5" t="n">
        <v>0.032</v>
      </c>
      <c r="J31" s="2" t="inlineStr">
        <is>
          <t>N/A</t>
        </is>
      </c>
      <c r="K31" s="9" t="n"/>
      <c r="L31" s="9" t="n"/>
      <c r="M31" s="6" t="n">
        <v>0.234</v>
      </c>
      <c r="N31" s="6" t="n">
        <v>0.65</v>
      </c>
      <c r="O31" s="9" t="n"/>
      <c r="P31" s="2" t="inlineStr">
        <is>
          <t>아니오</t>
        </is>
      </c>
    </row>
  </sheetData>
  <autoFilter ref="A1:P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7" t="inlineStr">
        <is>
          <t>종목코드</t>
        </is>
      </c>
      <c r="B1" s="7" t="inlineStr">
        <is>
          <t>회사명</t>
        </is>
      </c>
      <c r="C1" s="7" t="inlineStr">
        <is>
          <t>W.Buffett</t>
        </is>
      </c>
      <c r="D1" s="7" t="inlineStr">
        <is>
          <t>P.Lynch</t>
        </is>
      </c>
      <c r="E1" s="7" t="inlineStr">
        <is>
          <t>P.Fisher</t>
        </is>
      </c>
      <c r="F1" s="7" t="inlineStr">
        <is>
          <t>종합신호</t>
        </is>
      </c>
      <c r="G1" s="7" t="inlineStr">
        <is>
          <t>종합신뢰도</t>
        </is>
      </c>
    </row>
    <row r="2">
      <c r="A2" s="2" t="inlineStr">
        <is>
          <t>033100</t>
        </is>
      </c>
      <c r="B2" s="2" t="inlineStr">
        <is>
          <t>제룡전기</t>
        </is>
      </c>
      <c r="C2" s="8" t="inlineStr">
        <is>
          <t>매수(74)</t>
        </is>
      </c>
      <c r="D2" s="8" t="inlineStr">
        <is>
          <t>매수(75)</t>
        </is>
      </c>
      <c r="E2" s="8" t="inlineStr">
        <is>
          <t>매수(87)</t>
        </is>
      </c>
      <c r="F2" s="8" t="inlineStr">
        <is>
          <t>강력매수</t>
        </is>
      </c>
      <c r="G2" s="4" t="n">
        <v>0.787</v>
      </c>
    </row>
    <row r="3">
      <c r="A3" s="2" t="inlineStr">
        <is>
          <t>042700</t>
        </is>
      </c>
      <c r="B3" s="2" t="inlineStr">
        <is>
          <t>한미반도체</t>
        </is>
      </c>
      <c r="C3" s="20" t="inlineStr">
        <is>
          <t>중립(65)</t>
        </is>
      </c>
      <c r="D3" s="20" t="inlineStr">
        <is>
          <t>중립(64)</t>
        </is>
      </c>
      <c r="E3" s="8" t="inlineStr">
        <is>
          <t>매수(84)</t>
        </is>
      </c>
      <c r="F3" s="20" t="inlineStr">
        <is>
          <t>보유</t>
        </is>
      </c>
      <c r="G3" s="4" t="n">
        <v>0.71</v>
      </c>
    </row>
    <row r="4">
      <c r="A4" s="2" t="inlineStr">
        <is>
          <t>348210</t>
        </is>
      </c>
      <c r="B4" s="2" t="inlineStr">
        <is>
          <t>넥스틴</t>
        </is>
      </c>
      <c r="C4" s="8" t="inlineStr">
        <is>
          <t>매수(69)</t>
        </is>
      </c>
      <c r="D4" s="8" t="inlineStr">
        <is>
          <t>매수(68)</t>
        </is>
      </c>
      <c r="E4" s="8" t="inlineStr">
        <is>
          <t>매수(82)</t>
        </is>
      </c>
      <c r="F4" s="8" t="inlineStr">
        <is>
          <t>강력매수</t>
        </is>
      </c>
      <c r="G4" s="4" t="n">
        <v>0.73</v>
      </c>
    </row>
    <row r="5">
      <c r="A5" s="2" t="inlineStr">
        <is>
          <t>018290</t>
        </is>
      </c>
      <c r="B5" s="2" t="inlineStr">
        <is>
          <t>브이티</t>
        </is>
      </c>
      <c r="C5" s="8" t="inlineStr">
        <is>
          <t>매수(73)</t>
        </is>
      </c>
      <c r="D5" s="8" t="inlineStr">
        <is>
          <t>매수(74)</t>
        </is>
      </c>
      <c r="E5" s="8" t="inlineStr">
        <is>
          <t>매수(83)</t>
        </is>
      </c>
      <c r="F5" s="8" t="inlineStr">
        <is>
          <t>강력매수</t>
        </is>
      </c>
      <c r="G5" s="4" t="n">
        <v>0.767</v>
      </c>
    </row>
    <row r="6">
      <c r="A6" s="2" t="inlineStr">
        <is>
          <t>031980</t>
        </is>
      </c>
      <c r="B6" s="2" t="inlineStr">
        <is>
          <t>피에스케이홀딩스</t>
        </is>
      </c>
      <c r="C6" s="20" t="inlineStr">
        <is>
          <t>중립(60)</t>
        </is>
      </c>
      <c r="D6" s="20" t="inlineStr">
        <is>
          <t>중립(61)</t>
        </is>
      </c>
      <c r="E6" s="8" t="inlineStr">
        <is>
          <t>매수(81)</t>
        </is>
      </c>
      <c r="F6" s="20" t="inlineStr">
        <is>
          <t>보유</t>
        </is>
      </c>
      <c r="G6" s="4" t="n">
        <v>0.6729999999999999</v>
      </c>
    </row>
    <row r="7">
      <c r="A7" s="2" t="inlineStr">
        <is>
          <t>259960</t>
        </is>
      </c>
      <c r="B7" s="2" t="inlineStr">
        <is>
          <t>크래프톤</t>
        </is>
      </c>
      <c r="C7" s="8" t="inlineStr">
        <is>
          <t>매수(68)</t>
        </is>
      </c>
      <c r="D7" s="8" t="inlineStr">
        <is>
          <t>매수(66)</t>
        </is>
      </c>
      <c r="E7" s="8" t="inlineStr">
        <is>
          <t>매수(78)</t>
        </is>
      </c>
      <c r="F7" s="8" t="inlineStr">
        <is>
          <t>강력매수</t>
        </is>
      </c>
      <c r="G7" s="4" t="n">
        <v>0.7070000000000001</v>
      </c>
    </row>
    <row r="8">
      <c r="A8" s="2" t="inlineStr">
        <is>
          <t>062040</t>
        </is>
      </c>
      <c r="B8" s="2" t="inlineStr">
        <is>
          <t>산일전기</t>
        </is>
      </c>
      <c r="C8" s="8" t="inlineStr">
        <is>
          <t>매수(68)</t>
        </is>
      </c>
      <c r="D8" s="8" t="inlineStr">
        <is>
          <t>매수(68)</t>
        </is>
      </c>
      <c r="E8" s="8" t="inlineStr">
        <is>
          <t>매수(78)</t>
        </is>
      </c>
      <c r="F8" s="8" t="inlineStr">
        <is>
          <t>강력매수</t>
        </is>
      </c>
      <c r="G8" s="4" t="n">
        <v>0.713</v>
      </c>
    </row>
    <row r="9">
      <c r="A9" s="2" t="inlineStr">
        <is>
          <t>214150</t>
        </is>
      </c>
      <c r="B9" s="2" t="inlineStr">
        <is>
          <t>클래시스</t>
        </is>
      </c>
      <c r="C9" s="8" t="inlineStr">
        <is>
          <t>매수(67)</t>
        </is>
      </c>
      <c r="D9" s="8" t="inlineStr">
        <is>
          <t>매수(66)</t>
        </is>
      </c>
      <c r="E9" s="8" t="inlineStr">
        <is>
          <t>매수(75)</t>
        </is>
      </c>
      <c r="F9" s="8" t="inlineStr">
        <is>
          <t>강력매수</t>
        </is>
      </c>
      <c r="G9" s="4" t="n">
        <v>0.6929999999999999</v>
      </c>
    </row>
    <row r="10">
      <c r="A10" s="2" t="inlineStr">
        <is>
          <t>000660</t>
        </is>
      </c>
      <c r="B10" s="2" t="inlineStr">
        <is>
          <t>SK하이닉스</t>
        </is>
      </c>
      <c r="C10" s="20" t="inlineStr">
        <is>
          <t>중립(65)</t>
        </is>
      </c>
      <c r="D10" s="20" t="inlineStr">
        <is>
          <t>중립(60)</t>
        </is>
      </c>
      <c r="E10" s="8" t="inlineStr">
        <is>
          <t>매수(79)</t>
        </is>
      </c>
      <c r="F10" s="20" t="inlineStr">
        <is>
          <t>보유</t>
        </is>
      </c>
      <c r="G10" s="4" t="n">
        <v>0.68</v>
      </c>
    </row>
    <row r="11">
      <c r="A11" s="2" t="inlineStr">
        <is>
          <t>257720</t>
        </is>
      </c>
      <c r="B11" s="2" t="inlineStr">
        <is>
          <t>실리콘투</t>
        </is>
      </c>
      <c r="C11" s="20" t="inlineStr">
        <is>
          <t>중립(65)</t>
        </is>
      </c>
      <c r="D11" s="8" t="inlineStr">
        <is>
          <t>매수(70)</t>
        </is>
      </c>
      <c r="E11" s="8" t="inlineStr">
        <is>
          <t>매수(76)</t>
        </is>
      </c>
      <c r="F11" s="8" t="inlineStr">
        <is>
          <t>매수</t>
        </is>
      </c>
      <c r="G11" s="4" t="n">
        <v>0.703</v>
      </c>
    </row>
    <row r="12">
      <c r="A12" s="2" t="inlineStr">
        <is>
          <t>443060</t>
        </is>
      </c>
      <c r="B12" s="2" t="inlineStr">
        <is>
          <t>HD현대마린솔루션</t>
        </is>
      </c>
      <c r="C12" s="20" t="inlineStr">
        <is>
          <t>중립(69)</t>
        </is>
      </c>
      <c r="D12" s="20" t="inlineStr">
        <is>
          <t>중립(58)</t>
        </is>
      </c>
      <c r="E12" s="20" t="inlineStr">
        <is>
          <t>중립(67)</t>
        </is>
      </c>
      <c r="F12" s="20" t="inlineStr">
        <is>
          <t>보유</t>
        </is>
      </c>
      <c r="G12" s="4" t="n">
        <v>0.647</v>
      </c>
    </row>
    <row r="13">
      <c r="A13" s="2" t="inlineStr">
        <is>
          <t>036620</t>
        </is>
      </c>
      <c r="B13" s="2" t="inlineStr">
        <is>
          <t>감성코퍼레이션</t>
        </is>
      </c>
      <c r="C13" s="20" t="inlineStr">
        <is>
          <t>중립(69)</t>
        </is>
      </c>
      <c r="D13" s="20" t="inlineStr">
        <is>
          <t>중립(58)</t>
        </is>
      </c>
      <c r="E13" s="20" t="inlineStr">
        <is>
          <t>중립(65)</t>
        </is>
      </c>
      <c r="F13" s="20" t="inlineStr">
        <is>
          <t>보유</t>
        </is>
      </c>
      <c r="G13" s="4" t="n">
        <v>0.64</v>
      </c>
    </row>
    <row r="14">
      <c r="A14" s="2" t="inlineStr">
        <is>
          <t>278470</t>
        </is>
      </c>
      <c r="B14" s="2" t="inlineStr">
        <is>
          <t>에이피알</t>
        </is>
      </c>
      <c r="C14" s="20" t="inlineStr">
        <is>
          <t>중립(69)</t>
        </is>
      </c>
      <c r="D14" s="8" t="inlineStr">
        <is>
          <t>매수(64)</t>
        </is>
      </c>
      <c r="E14" s="8" t="inlineStr">
        <is>
          <t>매수(74)</t>
        </is>
      </c>
      <c r="F14" s="8" t="inlineStr">
        <is>
          <t>매수</t>
        </is>
      </c>
      <c r="G14" s="4" t="n">
        <v>0.6899999999999999</v>
      </c>
    </row>
    <row r="15">
      <c r="A15" s="2" t="inlineStr">
        <is>
          <t>067160</t>
        </is>
      </c>
      <c r="B15" s="2" t="inlineStr">
        <is>
          <t>SOOP</t>
        </is>
      </c>
      <c r="C15" s="20" t="inlineStr">
        <is>
          <t>중립(70)</t>
        </is>
      </c>
      <c r="D15" s="20" t="inlineStr">
        <is>
          <t>중립(55)</t>
        </is>
      </c>
      <c r="E15" s="8" t="inlineStr">
        <is>
          <t>매수(74)</t>
        </is>
      </c>
      <c r="F15" s="20" t="inlineStr">
        <is>
          <t>보유</t>
        </is>
      </c>
      <c r="G15" s="4" t="n">
        <v>0.6629999999999999</v>
      </c>
    </row>
    <row r="16">
      <c r="A16" s="2" t="inlineStr">
        <is>
          <t>003230</t>
        </is>
      </c>
      <c r="B16" s="2" t="inlineStr">
        <is>
          <t>삼양식품</t>
        </is>
      </c>
      <c r="C16" s="20" t="inlineStr">
        <is>
          <t>중립(68)</t>
        </is>
      </c>
      <c r="D16" s="8" t="inlineStr">
        <is>
          <t>매수(69)</t>
        </is>
      </c>
      <c r="E16" s="8" t="inlineStr">
        <is>
          <t>매수(75)</t>
        </is>
      </c>
      <c r="F16" s="8" t="inlineStr">
        <is>
          <t>매수</t>
        </is>
      </c>
      <c r="G16" s="4" t="n">
        <v>0.7070000000000001</v>
      </c>
    </row>
    <row r="17">
      <c r="A17" s="2" t="inlineStr">
        <is>
          <t>145020</t>
        </is>
      </c>
      <c r="B17" s="2" t="inlineStr">
        <is>
          <t>휴젤</t>
        </is>
      </c>
      <c r="C17" s="20" t="inlineStr">
        <is>
          <t>중립(64)</t>
        </is>
      </c>
      <c r="D17" s="20" t="inlineStr">
        <is>
          <t>중립(53)</t>
        </is>
      </c>
      <c r="E17" s="20" t="inlineStr">
        <is>
          <t>중립(64)</t>
        </is>
      </c>
      <c r="F17" s="20" t="inlineStr">
        <is>
          <t>보유</t>
        </is>
      </c>
      <c r="G17" s="4" t="n">
        <v>0.603</v>
      </c>
    </row>
    <row r="18">
      <c r="A18" s="2" t="inlineStr">
        <is>
          <t>326030</t>
        </is>
      </c>
      <c r="B18" s="2" t="inlineStr">
        <is>
          <t>SK바이오팜</t>
        </is>
      </c>
      <c r="C18" s="20" t="inlineStr">
        <is>
          <t>중립(68)</t>
        </is>
      </c>
      <c r="D18" s="8" t="inlineStr">
        <is>
          <t>매수(63)</t>
        </is>
      </c>
      <c r="E18" s="8" t="inlineStr">
        <is>
          <t>매수(74)</t>
        </is>
      </c>
      <c r="F18" s="8" t="inlineStr">
        <is>
          <t>매수</t>
        </is>
      </c>
      <c r="G18" s="4" t="n">
        <v>0.6829999999999999</v>
      </c>
    </row>
    <row r="19">
      <c r="A19" s="2" t="inlineStr">
        <is>
          <t>214450</t>
        </is>
      </c>
      <c r="B19" s="2" t="inlineStr">
        <is>
          <t>파마리서치</t>
        </is>
      </c>
      <c r="C19" s="20" t="inlineStr">
        <is>
          <t>중립(64)</t>
        </is>
      </c>
      <c r="D19" s="20" t="inlineStr">
        <is>
          <t>중립(57)</t>
        </is>
      </c>
      <c r="E19" s="20" t="inlineStr">
        <is>
          <t>중립(66)</t>
        </is>
      </c>
      <c r="F19" s="20" t="inlineStr">
        <is>
          <t>보유</t>
        </is>
      </c>
      <c r="G19" s="4" t="n">
        <v>0.623</v>
      </c>
    </row>
    <row r="20">
      <c r="A20" s="2" t="inlineStr">
        <is>
          <t>140860</t>
        </is>
      </c>
      <c r="B20" s="2" t="inlineStr">
        <is>
          <t>파크시스템스</t>
        </is>
      </c>
      <c r="C20" s="20" t="inlineStr">
        <is>
          <t>중립(63)</t>
        </is>
      </c>
      <c r="D20" s="20" t="inlineStr">
        <is>
          <t>중립(55)</t>
        </is>
      </c>
      <c r="E20" s="20" t="inlineStr">
        <is>
          <t>중립(64)</t>
        </is>
      </c>
      <c r="F20" s="20" t="inlineStr">
        <is>
          <t>보유</t>
        </is>
      </c>
      <c r="G20" s="4" t="n">
        <v>0.607</v>
      </c>
    </row>
    <row r="21">
      <c r="A21" s="2" t="inlineStr">
        <is>
          <t>011200</t>
        </is>
      </c>
      <c r="B21" s="2" t="inlineStr">
        <is>
          <t>HMM</t>
        </is>
      </c>
      <c r="C21" s="21" t="inlineStr">
        <is>
          <t>매도(58)</t>
        </is>
      </c>
      <c r="D21" s="20" t="inlineStr">
        <is>
          <t>중립(54)</t>
        </is>
      </c>
      <c r="E21" s="20" t="inlineStr">
        <is>
          <t>중립(62)</t>
        </is>
      </c>
      <c r="F21" s="20" t="inlineStr">
        <is>
          <t>보유</t>
        </is>
      </c>
      <c r="G21" s="4" t="n">
        <v>0.58</v>
      </c>
    </row>
    <row r="22">
      <c r="A22" s="2" t="inlineStr">
        <is>
          <t>058470</t>
        </is>
      </c>
      <c r="B22" s="2" t="inlineStr">
        <is>
          <t>리노공업</t>
        </is>
      </c>
      <c r="C22" s="21" t="inlineStr">
        <is>
          <t>매도(59)</t>
        </is>
      </c>
      <c r="D22" s="21" t="inlineStr">
        <is>
          <t>매도(67)</t>
        </is>
      </c>
      <c r="E22" s="21" t="inlineStr">
        <is>
          <t>매도(56)</t>
        </is>
      </c>
      <c r="F22" s="21" t="inlineStr">
        <is>
          <t>약한매도</t>
        </is>
      </c>
      <c r="G22" s="4" t="n">
        <v>0.607</v>
      </c>
    </row>
    <row r="23">
      <c r="A23" s="2" t="inlineStr">
        <is>
          <t>036930</t>
        </is>
      </c>
      <c r="B23" s="2" t="inlineStr">
        <is>
          <t>주성엔지니어링</t>
        </is>
      </c>
      <c r="C23" s="20" t="inlineStr">
        <is>
          <t>중립(63)</t>
        </is>
      </c>
      <c r="D23" s="8" t="inlineStr">
        <is>
          <t>매수(60)</t>
        </is>
      </c>
      <c r="E23" s="20" t="inlineStr">
        <is>
          <t>중립(63)</t>
        </is>
      </c>
      <c r="F23" s="20" t="inlineStr">
        <is>
          <t>보유</t>
        </is>
      </c>
      <c r="G23" s="4" t="n">
        <v>0.62</v>
      </c>
    </row>
    <row r="24">
      <c r="A24" s="2" t="inlineStr">
        <is>
          <t>192080</t>
        </is>
      </c>
      <c r="B24" s="2" t="inlineStr">
        <is>
          <t>더블유게임즈</t>
        </is>
      </c>
      <c r="C24" s="21" t="inlineStr">
        <is>
          <t>매도(59)</t>
        </is>
      </c>
      <c r="D24" s="21" t="inlineStr">
        <is>
          <t>매도(65)</t>
        </is>
      </c>
      <c r="E24" s="21" t="inlineStr">
        <is>
          <t>매도(58)</t>
        </is>
      </c>
      <c r="F24" s="21" t="inlineStr">
        <is>
          <t>약한매도</t>
        </is>
      </c>
      <c r="G24" s="4" t="n">
        <v>0.607</v>
      </c>
    </row>
    <row r="25">
      <c r="A25" s="2" t="inlineStr">
        <is>
          <t>084370</t>
        </is>
      </c>
      <c r="B25" s="2" t="inlineStr">
        <is>
          <t>유진테크</t>
        </is>
      </c>
      <c r="C25" s="21" t="inlineStr">
        <is>
          <t>매도(65)</t>
        </is>
      </c>
      <c r="D25" s="20" t="inlineStr">
        <is>
          <t>중립(54)</t>
        </is>
      </c>
      <c r="E25" s="20" t="inlineStr">
        <is>
          <t>중립(61)</t>
        </is>
      </c>
      <c r="F25" s="20" t="inlineStr">
        <is>
          <t>보유</t>
        </is>
      </c>
      <c r="G25" s="4" t="n">
        <v>0.6</v>
      </c>
    </row>
    <row r="26">
      <c r="A26" s="2" t="inlineStr">
        <is>
          <t>041190</t>
        </is>
      </c>
      <c r="B26" s="2" t="inlineStr">
        <is>
          <t>우리기술투자</t>
        </is>
      </c>
      <c r="C26" s="21" t="inlineStr">
        <is>
          <t>매도(61)</t>
        </is>
      </c>
      <c r="D26" s="21" t="inlineStr">
        <is>
          <t>매도(60)</t>
        </is>
      </c>
      <c r="E26" s="20" t="inlineStr">
        <is>
          <t>중립(60)</t>
        </is>
      </c>
      <c r="F26" s="21" t="inlineStr">
        <is>
          <t>약한매도</t>
        </is>
      </c>
      <c r="G26" s="4" t="n">
        <v>0.603</v>
      </c>
    </row>
    <row r="27">
      <c r="A27" s="2" t="inlineStr">
        <is>
          <t>213420</t>
        </is>
      </c>
      <c r="B27" s="2" t="inlineStr">
        <is>
          <t>덕산네오룩스</t>
        </is>
      </c>
      <c r="C27" s="21" t="inlineStr">
        <is>
          <t>매도(57)</t>
        </is>
      </c>
      <c r="D27" s="20" t="inlineStr">
        <is>
          <t>중립(53)</t>
        </is>
      </c>
      <c r="E27" s="20" t="inlineStr">
        <is>
          <t>중립(59)</t>
        </is>
      </c>
      <c r="F27" s="20" t="inlineStr">
        <is>
          <t>보유</t>
        </is>
      </c>
      <c r="G27" s="4" t="n">
        <v>0.5629999999999999</v>
      </c>
    </row>
    <row r="28">
      <c r="A28" s="2" t="inlineStr">
        <is>
          <t>319660</t>
        </is>
      </c>
      <c r="B28" s="2" t="inlineStr">
        <is>
          <t>피에스케이</t>
        </is>
      </c>
      <c r="C28" s="21" t="inlineStr">
        <is>
          <t>매도(66)</t>
        </is>
      </c>
      <c r="D28" s="21" t="inlineStr">
        <is>
          <t>매도(58)</t>
        </is>
      </c>
      <c r="E28" s="20" t="inlineStr">
        <is>
          <t>중립(58)</t>
        </is>
      </c>
      <c r="F28" s="21" t="inlineStr">
        <is>
          <t>약한매도</t>
        </is>
      </c>
      <c r="G28" s="4" t="n">
        <v>0.607</v>
      </c>
    </row>
    <row r="29">
      <c r="A29" s="2" t="inlineStr">
        <is>
          <t>095610</t>
        </is>
      </c>
      <c r="B29" s="2" t="inlineStr">
        <is>
          <t>테스</t>
        </is>
      </c>
      <c r="C29" s="21" t="inlineStr">
        <is>
          <t>매도(57)</t>
        </is>
      </c>
      <c r="D29" s="20" t="inlineStr">
        <is>
          <t>중립(56)</t>
        </is>
      </c>
      <c r="E29" s="20" t="inlineStr">
        <is>
          <t>중립(60)</t>
        </is>
      </c>
      <c r="F29" s="20" t="inlineStr">
        <is>
          <t>보유</t>
        </is>
      </c>
      <c r="G29" s="4" t="n">
        <v>0.5770000000000001</v>
      </c>
    </row>
    <row r="30">
      <c r="A30" s="2" t="inlineStr">
        <is>
          <t>267260</t>
        </is>
      </c>
      <c r="B30" s="2" t="inlineStr">
        <is>
          <t>HD현대일렉트릭</t>
        </is>
      </c>
      <c r="C30" s="20" t="inlineStr">
        <is>
          <t>중립(68)</t>
        </is>
      </c>
      <c r="D30" s="20" t="inlineStr">
        <is>
          <t>중립(57)</t>
        </is>
      </c>
      <c r="E30" s="20" t="inlineStr">
        <is>
          <t>중립(61)</t>
        </is>
      </c>
      <c r="F30" s="20" t="inlineStr">
        <is>
          <t>보유</t>
        </is>
      </c>
      <c r="G30" s="4" t="n">
        <v>0.62</v>
      </c>
    </row>
    <row r="31">
      <c r="A31" s="2" t="inlineStr">
        <is>
          <t>183300</t>
        </is>
      </c>
      <c r="B31" s="2" t="inlineStr">
        <is>
          <t>코미코</t>
        </is>
      </c>
      <c r="C31" s="21" t="inlineStr">
        <is>
          <t>매도(61)</t>
        </is>
      </c>
      <c r="D31" s="8" t="inlineStr">
        <is>
          <t>매수(61)</t>
        </is>
      </c>
      <c r="E31" s="20" t="inlineStr">
        <is>
          <t>중립(60)</t>
        </is>
      </c>
      <c r="F31" s="20" t="inlineStr">
        <is>
          <t>보유</t>
        </is>
      </c>
      <c r="G31" s="4" t="n">
        <v>0.607</v>
      </c>
    </row>
  </sheetData>
  <autoFilter ref="A1:G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0" customWidth="1" min="4" max="4"/>
    <col width="10" customWidth="1" min="5" max="5"/>
    <col width="90" customWidth="1" min="6" max="6"/>
  </cols>
  <sheetData>
    <row r="1">
      <c r="A1" s="7" t="inlineStr">
        <is>
          <t>종목코드</t>
        </is>
      </c>
      <c r="B1" s="7" t="inlineStr">
        <is>
          <t>회사명</t>
        </is>
      </c>
      <c r="C1" s="7" t="inlineStr">
        <is>
          <t>투자자</t>
        </is>
      </c>
      <c r="D1" s="7" t="inlineStr">
        <is>
          <t>신호</t>
        </is>
      </c>
      <c r="E1" s="7" t="inlineStr">
        <is>
          <t>신뢰도</t>
        </is>
      </c>
      <c r="F1" s="7" t="inlineStr">
        <is>
          <t>분석근거</t>
        </is>
      </c>
    </row>
    <row r="2">
      <c r="A2" s="2" t="inlineStr">
        <is>
          <t>033100</t>
        </is>
      </c>
      <c r="B2" s="2" t="inlineStr">
        <is>
          <t>제룡전기</t>
        </is>
      </c>
      <c r="C2" s="2" t="inlineStr">
        <is>
          <t>Warren Buffett</t>
        </is>
      </c>
      <c r="D2" s="8" t="inlineStr">
        <is>
          <t>매수</t>
        </is>
      </c>
      <c r="E2" s="4" t="n">
        <v>0.74</v>
      </c>
      <c r="F2" s="22" t="inlineStr">
        <is>
          <t>ROE 40.6%는 매우 높아 사업 질과 자본배분 효율이 돋보인다. 성장률 42.8%도 동반돼 해자 유지력은 나쁘지 않다; 의견 분산은 크지만 밸류에이션 정보가 비어 있어도 제공된 범위에서는 긍정이 우세하다.</t>
        </is>
      </c>
    </row>
    <row r="3">
      <c r="A3" s="2" t="inlineStr">
        <is>
          <t>033100</t>
        </is>
      </c>
      <c r="B3" s="2" t="inlineStr">
        <is>
          <t>제룡전기</t>
        </is>
      </c>
      <c r="C3" s="2" t="inlineStr">
        <is>
          <t>Peter Lynch</t>
        </is>
      </c>
      <c r="D3" s="8" t="inlineStr">
        <is>
          <t>매수</t>
        </is>
      </c>
      <c r="E3" s="4" t="n">
        <v>0.75</v>
      </c>
      <c r="F3" s="22" t="inlineStr">
        <is>
          <t>매출 성장 42.8%와 ROE 40.6%가 동시에 높고 랭크 1위, predict 매수라 린치식 성장주 후보로 볼 만합니다. 다만 PE·PEG가 비어 있어 확신은 한 단계 낮췄습니다.</t>
        </is>
      </c>
    </row>
    <row r="4">
      <c r="A4" s="2" t="inlineStr">
        <is>
          <t>033100</t>
        </is>
      </c>
      <c r="B4" s="2" t="inlineStr">
        <is>
          <t>제룡전기</t>
        </is>
      </c>
      <c r="C4" s="2" t="inlineStr">
        <is>
          <t>Phil Fisher</t>
        </is>
      </c>
      <c r="D4" s="8" t="inlineStr">
        <is>
          <t>매수</t>
        </is>
      </c>
      <c r="E4" s="4" t="n">
        <v>0.87</v>
      </c>
      <c r="F4" s="22" t="inlineStr">
        <is>
          <t>매출 성장률 42.8%와 ROE 40.6%가 장기 성장 품질과 경영 효율을 동시에 보여준다. KRX Top30 1위와 Fisher 점수 8.9를 감안하면 재투자 여지와 제품 경쟁력 기대가 강하다.</t>
        </is>
      </c>
    </row>
    <row r="5">
      <c r="A5" s="2" t="inlineStr">
        <is>
          <t>042700</t>
        </is>
      </c>
      <c r="B5" s="2" t="inlineStr">
        <is>
          <t>한미반도체</t>
        </is>
      </c>
      <c r="C5" s="2" t="inlineStr">
        <is>
          <t>Warren Buffett</t>
        </is>
      </c>
      <c r="D5" s="20" t="inlineStr">
        <is>
          <t>중립</t>
        </is>
      </c>
      <c r="E5" s="4" t="n">
        <v>0.65</v>
      </c>
      <c r="F5" s="22" t="inlineStr">
        <is>
          <t>ROE 28.2%는 우수해 질적 경쟁력이 양호해 보인다. 성장률 251.5%는 강하지만 너무 가팔라 이익 예측가능성은 보수적으로 봐야 한다; 의견 분산도 크고 상위 랭크 맥락은 좋지만 밸류에이션 정보가 비어 있어 안전마진 확인 전까지는 중립이 적절하다.</t>
        </is>
      </c>
    </row>
    <row r="6">
      <c r="A6" s="2" t="inlineStr">
        <is>
          <t>042700</t>
        </is>
      </c>
      <c r="B6" s="2" t="inlineStr">
        <is>
          <t>한미반도체</t>
        </is>
      </c>
      <c r="C6" s="2" t="inlineStr">
        <is>
          <t>Peter Lynch</t>
        </is>
      </c>
      <c r="D6" s="20" t="inlineStr">
        <is>
          <t>중립</t>
        </is>
      </c>
      <c r="E6" s="4" t="n">
        <v>0.64</v>
      </c>
      <c r="F6" s="22" t="inlineStr">
        <is>
          <t>매출 성장 251.5%는 매우 강하지만 이런 급증은 린치 관점에서 지속성보다 과열 가능성을 먼저 점검하게 만듭니다. 랭크 2위와 ROE 28.2%는 좋지만 PEG 공백 때문에 중립이 적절합니다.</t>
        </is>
      </c>
    </row>
    <row r="7">
      <c r="A7" s="2" t="inlineStr">
        <is>
          <t>042700</t>
        </is>
      </c>
      <c r="B7" s="2" t="inlineStr">
        <is>
          <t>한미반도체</t>
        </is>
      </c>
      <c r="C7" s="2" t="inlineStr">
        <is>
          <t>Phil Fisher</t>
        </is>
      </c>
      <c r="D7" s="8" t="inlineStr">
        <is>
          <t>매수</t>
        </is>
      </c>
      <c r="E7" s="4" t="n">
        <v>0.84</v>
      </c>
      <c r="F7" s="22" t="inlineStr">
        <is>
          <t>매출 성장률 251.5%와 ROE 28.2%는 장기 성장주 관점에서 매우 강한 실행력이다. Fisher 점수 7.9와 상위 랭크를 보면 성장 지속성과 제품 경쟁력 기대가 높다.</t>
        </is>
      </c>
    </row>
    <row r="8">
      <c r="A8" s="2" t="inlineStr">
        <is>
          <t>348210</t>
        </is>
      </c>
      <c r="B8" s="2" t="inlineStr">
        <is>
          <t>넥스틴</t>
        </is>
      </c>
      <c r="C8" s="2" t="inlineStr">
        <is>
          <t>Warren Buffett</t>
        </is>
      </c>
      <c r="D8" s="8" t="inlineStr">
        <is>
          <t>매수</t>
        </is>
      </c>
      <c r="E8" s="4" t="n">
        <v>0.6899999999999999</v>
      </c>
      <c r="F8" s="22" t="inlineStr">
        <is>
          <t>ROE 24.4%는 우수해 질적 경쟁력이 양호해 보인다. 성장률 29.3%도 동반돼 해자 유지력은 나쁘지 않다; 의견 분산은 크지만 밸류에이션 정보가 비어 있어도 제공된 범위에서는 긍정이 우세하다.</t>
        </is>
      </c>
    </row>
    <row r="9">
      <c r="A9" s="2" t="inlineStr">
        <is>
          <t>348210</t>
        </is>
      </c>
      <c r="B9" s="2" t="inlineStr">
        <is>
          <t>넥스틴</t>
        </is>
      </c>
      <c r="C9" s="2" t="inlineStr">
        <is>
          <t>Peter Lynch</t>
        </is>
      </c>
      <c r="D9" s="8" t="inlineStr">
        <is>
          <t>매수</t>
        </is>
      </c>
      <c r="E9" s="4" t="n">
        <v>0.68</v>
      </c>
      <c r="F9" s="22" t="inlineStr">
        <is>
          <t>매출 성장 29.3%와 ROE 24.4% 조합은 무리하지 않은 성장주에 가깝고 랭크 3위도 우호적입니다. PE·PEG 정보는 없지만 숫자만 보면 린치식 GARP 후보입니다.</t>
        </is>
      </c>
    </row>
    <row r="10">
      <c r="A10" s="2" t="inlineStr">
        <is>
          <t>348210</t>
        </is>
      </c>
      <c r="B10" s="2" t="inlineStr">
        <is>
          <t>넥스틴</t>
        </is>
      </c>
      <c r="C10" s="2" t="inlineStr">
        <is>
          <t>Phil Fisher</t>
        </is>
      </c>
      <c r="D10" s="8" t="inlineStr">
        <is>
          <t>매수</t>
        </is>
      </c>
      <c r="E10" s="4" t="n">
        <v>0.82</v>
      </c>
      <c r="F10" s="22" t="inlineStr">
        <is>
          <t>매출 성장률 29.3%와 ROE 24.4% 조합이 균형 잡힌 성장 품질을 보여준다. Fisher 점수 8.7과 상위 3위 랭크는 장기 제품력과 재투자 스토리에 우호적이다.</t>
        </is>
      </c>
    </row>
    <row r="11">
      <c r="A11" s="2" t="inlineStr">
        <is>
          <t>018290</t>
        </is>
      </c>
      <c r="B11" s="2" t="inlineStr">
        <is>
          <t>브이티</t>
        </is>
      </c>
      <c r="C11" s="2" t="inlineStr">
        <is>
          <t>Warren Buffett</t>
        </is>
      </c>
      <c r="D11" s="8" t="inlineStr">
        <is>
          <t>매수</t>
        </is>
      </c>
      <c r="E11" s="4" t="n">
        <v>0.73</v>
      </c>
      <c r="F11" s="22" t="inlineStr">
        <is>
          <t>ROE 43.2%는 매우 높아 사업 질과 자본배분 효율이 돋보인다. 성장률 46.1%도 동반돼 해자 유지력은 나쁘지 않다; 의견 분산은 크지만 밸류에이션 정보가 비어 있어도 제공된 범위에서는 긍정이 우세하다.</t>
        </is>
      </c>
    </row>
    <row r="12">
      <c r="A12" s="2" t="inlineStr">
        <is>
          <t>018290</t>
        </is>
      </c>
      <c r="B12" s="2" t="inlineStr">
        <is>
          <t>브이티</t>
        </is>
      </c>
      <c r="C12" s="2" t="inlineStr">
        <is>
          <t>Peter Lynch</t>
        </is>
      </c>
      <c r="D12" s="8" t="inlineStr">
        <is>
          <t>매수</t>
        </is>
      </c>
      <c r="E12" s="4" t="n">
        <v>0.74</v>
      </c>
      <c r="F12" s="22" t="inlineStr">
        <is>
          <t>매출 성장 46.1%, ROE 43.2%, 상위 4위라는 조합은 이익 모멘텀이 강한 편으로 읽힙니다. 밸류에이션 정보가 빠져 있어도 현재 입력만 보면 긍정 쪽이 우세합니다.</t>
        </is>
      </c>
    </row>
    <row r="13">
      <c r="A13" s="2" t="inlineStr">
        <is>
          <t>018290</t>
        </is>
      </c>
      <c r="B13" s="2" t="inlineStr">
        <is>
          <t>브이티</t>
        </is>
      </c>
      <c r="C13" s="2" t="inlineStr">
        <is>
          <t>Phil Fisher</t>
        </is>
      </c>
      <c r="D13" s="8" t="inlineStr">
        <is>
          <t>매수</t>
        </is>
      </c>
      <c r="E13" s="4" t="n">
        <v>0.83</v>
      </c>
      <c r="F13" s="22" t="inlineStr">
        <is>
          <t>매출 성장률 46.1%와 ROE 43.2%는 강한 제품 확장성과 경영 효율을 시사한다. Fisher 점수 7.9와 상위 랭크를 감안하면 장기 성장주 관점에서 긍정적이다.</t>
        </is>
      </c>
    </row>
    <row r="14">
      <c r="A14" s="2" t="inlineStr">
        <is>
          <t>031980</t>
        </is>
      </c>
      <c r="B14" s="2" t="inlineStr">
        <is>
          <t>피에스케이홀딩스</t>
        </is>
      </c>
      <c r="C14" s="2" t="inlineStr">
        <is>
          <t>Warren Buffett</t>
        </is>
      </c>
      <c r="D14" s="20" t="inlineStr">
        <is>
          <t>중립</t>
        </is>
      </c>
      <c r="E14" s="4" t="n">
        <v>0.6</v>
      </c>
      <c r="F14" s="22" t="inlineStr">
        <is>
          <t>ROE 22.2%는 우수해 질적 경쟁력이 양호해 보인다. 성장률 127.5%는 강하지만 너무 가팔라 이익 예측가능성은 보수적으로 봐야 한다; 의견 분산도 크고 상위 랭크 맥락은 좋지만 밸류에이션 정보가 비어 있어 안전마진 확인 전까지는 중립이 적절하다.</t>
        </is>
      </c>
    </row>
    <row r="15">
      <c r="A15" s="2" t="inlineStr">
        <is>
          <t>031980</t>
        </is>
      </c>
      <c r="B15" s="2" t="inlineStr">
        <is>
          <t>피에스케이홀딩스</t>
        </is>
      </c>
      <c r="C15" s="2" t="inlineStr">
        <is>
          <t>Peter Lynch</t>
        </is>
      </c>
      <c r="D15" s="20" t="inlineStr">
        <is>
          <t>중립</t>
        </is>
      </c>
      <c r="E15" s="4" t="n">
        <v>0.61</v>
      </c>
      <c r="F15" s="22" t="inlineStr">
        <is>
          <t>매출 성장 127.5%와 ROE 22.2%는 좋지만 성장 폭이 너무 커 린치식으로는 한 번 더 지속성을 의심하게 됩니다. 상위 랭크는 장점이지만 PEG 없이 바로 강세로 가기엔 부족합니다.</t>
        </is>
      </c>
    </row>
    <row r="16">
      <c r="A16" s="2" t="inlineStr">
        <is>
          <t>031980</t>
        </is>
      </c>
      <c r="B16" s="2" t="inlineStr">
        <is>
          <t>피에스케이홀딩스</t>
        </is>
      </c>
      <c r="C16" s="2" t="inlineStr">
        <is>
          <t>Phil Fisher</t>
        </is>
      </c>
      <c r="D16" s="8" t="inlineStr">
        <is>
          <t>매수</t>
        </is>
      </c>
      <c r="E16" s="4" t="n">
        <v>0.8100000000000001</v>
      </c>
      <c r="F16" s="22" t="inlineStr">
        <is>
          <t>매출 성장률 127.5%와 ROE 22.2%는 재투자 성과가 빠르게 나타나는 구간으로 해석된다. Fisher 점수 8.5와 상위 5위는 장기 성장 품질에 대한 신뢰를 높인다.</t>
        </is>
      </c>
    </row>
    <row r="17">
      <c r="A17" s="2" t="inlineStr">
        <is>
          <t>259960</t>
        </is>
      </c>
      <c r="B17" s="2" t="inlineStr">
        <is>
          <t>크래프톤</t>
        </is>
      </c>
      <c r="C17" s="2" t="inlineStr">
        <is>
          <t>Warren Buffett</t>
        </is>
      </c>
      <c r="D17" s="8" t="inlineStr">
        <is>
          <t>매수</t>
        </is>
      </c>
      <c r="E17" s="4" t="n">
        <v>0.68</v>
      </c>
      <c r="F17" s="22" t="inlineStr">
        <is>
          <t>ROE 19.1%는 무난하지만 버핏식 최상급 품질로 보긴 이르다. 성장률 41.8%도 동반돼 해자 유지력은 나쁘지 않다; 의견 분산은 크지만 밸류에이션 정보가 비어 있어도 제공된 범위에서는 긍정이 우세하다.</t>
        </is>
      </c>
    </row>
    <row r="18">
      <c r="A18" s="2" t="inlineStr">
        <is>
          <t>259960</t>
        </is>
      </c>
      <c r="B18" s="2" t="inlineStr">
        <is>
          <t>크래프톤</t>
        </is>
      </c>
      <c r="C18" s="2" t="inlineStr">
        <is>
          <t>Peter Lynch</t>
        </is>
      </c>
      <c r="D18" s="8" t="inlineStr">
        <is>
          <t>매수</t>
        </is>
      </c>
      <c r="E18" s="4" t="n">
        <v>0.66</v>
      </c>
      <c r="F18" s="22" t="inlineStr">
        <is>
          <t>매출 성장 41.8%와 ROE 19.1%면 성장과 수익성의 균형이 나쁘지 않고 랭크 6위도 받쳐줍니다. predict는 hold지만 린치 관점에서는 여전히 성장 쪽 무게가 있습니다.</t>
        </is>
      </c>
    </row>
    <row r="19">
      <c r="A19" s="2" t="inlineStr">
        <is>
          <t>259960</t>
        </is>
      </c>
      <c r="B19" s="2" t="inlineStr">
        <is>
          <t>크래프톤</t>
        </is>
      </c>
      <c r="C19" s="2" t="inlineStr">
        <is>
          <t>Phil Fisher</t>
        </is>
      </c>
      <c r="D19" s="8" t="inlineStr">
        <is>
          <t>매수</t>
        </is>
      </c>
      <c r="E19" s="4" t="n">
        <v>0.78</v>
      </c>
      <c r="F19" s="22" t="inlineStr">
        <is>
          <t>매출 성장률 41.8%와 ROE 19.1%는 성장성과 수익성의 균형이 양호하다. Fisher 점수 8.0과 상위권 랭크를 보면 장기 제품 경쟁력 기대가 유효하다.</t>
        </is>
      </c>
    </row>
    <row r="20">
      <c r="A20" s="2" t="inlineStr">
        <is>
          <t>062040</t>
        </is>
      </c>
      <c r="B20" s="2" t="inlineStr">
        <is>
          <t>산일전기</t>
        </is>
      </c>
      <c r="C20" s="2" t="inlineStr">
        <is>
          <t>Warren Buffett</t>
        </is>
      </c>
      <c r="D20" s="8" t="inlineStr">
        <is>
          <t>매수</t>
        </is>
      </c>
      <c r="E20" s="4" t="n">
        <v>0.68</v>
      </c>
      <c r="F20" s="22" t="inlineStr">
        <is>
          <t>ROE 19.3%는 무난하지만 버핏식 최상급 품질로 보긴 이르다. 성장률 55.7%도 동반돼 해자 유지력은 나쁘지 않다; 의견 분산은 크지만 밸류에이션 정보가 비어 있어도 제공된 범위에서는 긍정이 우세하다.</t>
        </is>
      </c>
    </row>
    <row r="21">
      <c r="A21" s="2" t="inlineStr">
        <is>
          <t>062040</t>
        </is>
      </c>
      <c r="B21" s="2" t="inlineStr">
        <is>
          <t>산일전기</t>
        </is>
      </c>
      <c r="C21" s="2" t="inlineStr">
        <is>
          <t>Peter Lynch</t>
        </is>
      </c>
      <c r="D21" s="8" t="inlineStr">
        <is>
          <t>매수</t>
        </is>
      </c>
      <c r="E21" s="4" t="n">
        <v>0.68</v>
      </c>
      <c r="F21" s="22" t="inlineStr">
        <is>
          <t>매출 성장 55.7%에 ROE 19.3%면 실적 모멘텀이 강한 편이고 상위 7위라는 위치도 좋습니다. PEG는 없지만 성장 대비 과도한 약세를 줄 이유는 적어 보입니다.</t>
        </is>
      </c>
    </row>
    <row r="22">
      <c r="A22" s="2" t="inlineStr">
        <is>
          <t>062040</t>
        </is>
      </c>
      <c r="B22" s="2" t="inlineStr">
        <is>
          <t>산일전기</t>
        </is>
      </c>
      <c r="C22" s="2" t="inlineStr">
        <is>
          <t>Phil Fisher</t>
        </is>
      </c>
      <c r="D22" s="8" t="inlineStr">
        <is>
          <t>매수</t>
        </is>
      </c>
      <c r="E22" s="4" t="n">
        <v>0.78</v>
      </c>
      <c r="F22" s="22" t="inlineStr">
        <is>
          <t>매출 성장률 55.7%가 높고 ROE 19.3%도 양호해 장기 재투자 여력이 보인다. Fisher 점수 8.0과 상위권 랭크는 실행력과 제품 경쟁력 기대를 지지한다.</t>
        </is>
      </c>
    </row>
    <row r="23">
      <c r="A23" s="2" t="inlineStr">
        <is>
          <t>214150</t>
        </is>
      </c>
      <c r="B23" s="2" t="inlineStr">
        <is>
          <t>클래시스</t>
        </is>
      </c>
      <c r="C23" s="2" t="inlineStr">
        <is>
          <t>Warren Buffett</t>
        </is>
      </c>
      <c r="D23" s="8" t="inlineStr">
        <is>
          <t>매수</t>
        </is>
      </c>
      <c r="E23" s="4" t="n">
        <v>0.67</v>
      </c>
      <c r="F23" s="22" t="inlineStr">
        <is>
          <t>ROE 21.5%는 우수해 질적 경쟁력이 양호해 보인다. 성장률 34.9%도 동반돼 해자 유지력은 나쁘지 않다; 의견 분산은 크지만 밸류에이션 정보가 비어 있어도 제공된 범위에서는 긍정이 우세하다.</t>
        </is>
      </c>
    </row>
    <row r="24">
      <c r="A24" s="2" t="inlineStr">
        <is>
          <t>214150</t>
        </is>
      </c>
      <c r="B24" s="2" t="inlineStr">
        <is>
          <t>클래시스</t>
        </is>
      </c>
      <c r="C24" s="2" t="inlineStr">
        <is>
          <t>Peter Lynch</t>
        </is>
      </c>
      <c r="D24" s="8" t="inlineStr">
        <is>
          <t>매수</t>
        </is>
      </c>
      <c r="E24" s="4" t="n">
        <v>0.66</v>
      </c>
      <c r="F24" s="22" t="inlineStr">
        <is>
          <t>매출 성장 34.9%, ROE 21.5%, 상위 8위 조합은 린치가 선호하는 실적 동반 성장에 가깝습니다. valuation 공백 때문에 확신은 제한되지만 방향성은 긍정입니다.</t>
        </is>
      </c>
    </row>
    <row r="25">
      <c r="A25" s="2" t="inlineStr">
        <is>
          <t>214150</t>
        </is>
      </c>
      <c r="B25" s="2" t="inlineStr">
        <is>
          <t>클래시스</t>
        </is>
      </c>
      <c r="C25" s="2" t="inlineStr">
        <is>
          <t>Phil Fisher</t>
        </is>
      </c>
      <c r="D25" s="8" t="inlineStr">
        <is>
          <t>매수</t>
        </is>
      </c>
      <c r="E25" s="4" t="n">
        <v>0.75</v>
      </c>
      <c r="F25" s="22" t="inlineStr">
        <is>
          <t>매출 성장률 34.9%, ROE 21.5%로 성장 품질과 자본 효율이 안정적이다. Fisher 점수 7.5와 상위권 랭크를 감안하면 장기 성장주 기준에서 우호적이다.</t>
        </is>
      </c>
    </row>
    <row r="26">
      <c r="A26" s="2" t="inlineStr">
        <is>
          <t>000660</t>
        </is>
      </c>
      <c r="B26" s="2" t="inlineStr">
        <is>
          <t>SK하이닉스</t>
        </is>
      </c>
      <c r="C26" s="2" t="inlineStr">
        <is>
          <t>Warren Buffett</t>
        </is>
      </c>
      <c r="D26" s="20" t="inlineStr">
        <is>
          <t>중립</t>
        </is>
      </c>
      <c r="E26" s="4" t="n">
        <v>0.65</v>
      </c>
      <c r="F26" s="22" t="inlineStr">
        <is>
          <t>ROE 26.8%는 우수해 질적 경쟁력이 양호해 보인다. 성장률 102.0%는 강하지만 너무 가팔라 이익 예측가능성은 보수적으로 봐야 한다; 상위 랭크 맥락은 좋지만 밸류에이션 정보가 비어 있어 안전마진 확인 전까지는 중립이 적절하다.</t>
        </is>
      </c>
    </row>
    <row r="27">
      <c r="A27" s="2" t="inlineStr">
        <is>
          <t>000660</t>
        </is>
      </c>
      <c r="B27" s="2" t="inlineStr">
        <is>
          <t>SK하이닉스</t>
        </is>
      </c>
      <c r="C27" s="2" t="inlineStr">
        <is>
          <t>Peter Lynch</t>
        </is>
      </c>
      <c r="D27" s="20" t="inlineStr">
        <is>
          <t>중립</t>
        </is>
      </c>
      <c r="E27" s="4" t="n">
        <v>0.6</v>
      </c>
      <c r="F27" s="22" t="inlineStr">
        <is>
          <t>매출 성장 102.0%와 ROE 26.8%는 강하지만 급격한 회복 구간일수록 린치는 반복 가능성을 더 따집니다. 랭크 9위는 좋지만 PE·PEG가 없어 중립으로 남깁니다.</t>
        </is>
      </c>
    </row>
    <row r="28">
      <c r="A28" s="2" t="inlineStr">
        <is>
          <t>000660</t>
        </is>
      </c>
      <c r="B28" s="2" t="inlineStr">
        <is>
          <t>SK하이닉스</t>
        </is>
      </c>
      <c r="C28" s="2" t="inlineStr">
        <is>
          <t>Phil Fisher</t>
        </is>
      </c>
      <c r="D28" s="8" t="inlineStr">
        <is>
          <t>매수</t>
        </is>
      </c>
      <c r="E28" s="4" t="n">
        <v>0.79</v>
      </c>
      <c r="F28" s="22" t="inlineStr">
        <is>
          <t>매출 성장률 102.0%와 ROE 26.8%는 업황 회복을 넘어 재투자 수익성이 크게 개선됐음을 보여준다. Fisher 점수 7.7과 Top10 랭크를 보면 장기 기술 경쟁력 기대가 강하다.</t>
        </is>
      </c>
    </row>
    <row r="29">
      <c r="A29" s="2" t="inlineStr">
        <is>
          <t>257720</t>
        </is>
      </c>
      <c r="B29" s="2" t="inlineStr">
        <is>
          <t>실리콘투</t>
        </is>
      </c>
      <c r="C29" s="2" t="inlineStr">
        <is>
          <t>Warren Buffett</t>
        </is>
      </c>
      <c r="D29" s="20" t="inlineStr">
        <is>
          <t>중립</t>
        </is>
      </c>
      <c r="E29" s="4" t="n">
        <v>0.65</v>
      </c>
      <c r="F29" s="22" t="inlineStr">
        <is>
          <t>ROE 46.2%는 매우 높아 사업 질과 자본배분 효율이 돋보인다. 성장률 101.7%는 강하지만 너무 가팔라 이익 예측가능성은 보수적으로 봐야 한다; 상위 랭크 맥락은 좋지만 밸류에이션 정보가 비어 있어 안전마진 확인 전까지는 중립이 적절하다.</t>
        </is>
      </c>
    </row>
    <row r="30">
      <c r="A30" s="2" t="inlineStr">
        <is>
          <t>257720</t>
        </is>
      </c>
      <c r="B30" s="2" t="inlineStr">
        <is>
          <t>실리콘투</t>
        </is>
      </c>
      <c r="C30" s="2" t="inlineStr">
        <is>
          <t>Peter Lynch</t>
        </is>
      </c>
      <c r="D30" s="8" t="inlineStr">
        <is>
          <t>매수</t>
        </is>
      </c>
      <c r="E30" s="4" t="n">
        <v>0.7</v>
      </c>
      <c r="F30" s="22" t="inlineStr">
        <is>
          <t>매출 성장 101.7%와 ROE 46.2%는 상위권 중에서도 숫자가 매우 강합니다. 성장주로서 매력은 높지만 PEG 부재를 감안해 과도한 확신만 줄였습니다.</t>
        </is>
      </c>
    </row>
    <row r="31">
      <c r="A31" s="2" t="inlineStr">
        <is>
          <t>257720</t>
        </is>
      </c>
      <c r="B31" s="2" t="inlineStr">
        <is>
          <t>실리콘투</t>
        </is>
      </c>
      <c r="C31" s="2" t="inlineStr">
        <is>
          <t>Phil Fisher</t>
        </is>
      </c>
      <c r="D31" s="8" t="inlineStr">
        <is>
          <t>매수</t>
        </is>
      </c>
      <c r="E31" s="4" t="n">
        <v>0.76</v>
      </c>
      <c r="F31" s="22" t="inlineStr">
        <is>
          <t>매출 성장률 101.7%와 ROE 46.2%는 매우 강한 실행력과 자본 효율을 보여준다. 다만 Fisher 점수 7.2와 중간 수준 합의를 감안해 낙관은 유지하되 확신은 다소 낮춘다.</t>
        </is>
      </c>
    </row>
    <row r="32">
      <c r="A32" s="2" t="inlineStr">
        <is>
          <t>443060</t>
        </is>
      </c>
      <c r="B32" s="2" t="inlineStr">
        <is>
          <t>HD현대마린솔루션</t>
        </is>
      </c>
      <c r="C32" s="2" t="inlineStr">
        <is>
          <t>Warren Buffett</t>
        </is>
      </c>
      <c r="D32" s="20" t="inlineStr">
        <is>
          <t>중립</t>
        </is>
      </c>
      <c r="E32" s="4" t="n">
        <v>0.6899999999999999</v>
      </c>
      <c r="F32" s="22" t="inlineStr">
        <is>
          <t>ROE 29.5%는 우수해 질적 경쟁력이 양호해 보인다. 성장률 22.0%도 동반돼 해자 유지력은 나쁘지 않다; 의견 분산도 크고 hold 맥락과 밸류에이션 공백을 감안하면 안전마진 확인 전까지는 중립이 적절하다.</t>
        </is>
      </c>
    </row>
    <row r="33">
      <c r="A33" s="2" t="inlineStr">
        <is>
          <t>443060</t>
        </is>
      </c>
      <c r="B33" s="2" t="inlineStr">
        <is>
          <t>HD현대마린솔루션</t>
        </is>
      </c>
      <c r="C33" s="2" t="inlineStr">
        <is>
          <t>Peter Lynch</t>
        </is>
      </c>
      <c r="D33" s="20" t="inlineStr">
        <is>
          <t>중립</t>
        </is>
      </c>
      <c r="E33" s="4" t="n">
        <v>0.58</v>
      </c>
      <c r="F33" s="22" t="inlineStr">
        <is>
          <t>매출 성장 22.0%와 ROE 29.5%는 괜찮지만 린치식으로는 아주 큰 확장 여지를 확인하기엔 정보가 부족합니다. 랭크 11위와 predict hold를 감안해 중립으로 봅니다.</t>
        </is>
      </c>
    </row>
    <row r="34">
      <c r="A34" s="2" t="inlineStr">
        <is>
          <t>443060</t>
        </is>
      </c>
      <c r="B34" s="2" t="inlineStr">
        <is>
          <t>HD현대마린솔루션</t>
        </is>
      </c>
      <c r="C34" s="2" t="inlineStr">
        <is>
          <t>Phil Fisher</t>
        </is>
      </c>
      <c r="D34" s="20" t="inlineStr">
        <is>
          <t>중립</t>
        </is>
      </c>
      <c r="E34" s="4" t="n">
        <v>0.67</v>
      </c>
      <c r="F34" s="22" t="inlineStr">
        <is>
          <t>매출 성장률 22.0%와 ROE 29.5%는 품질 좋은 성장주 후보로 볼 만하다. 다만 Fisher 점수 6.3과 hold 컨텍스트를 감안하면 장기 재투자 스토리 확인이 더 필요하다.</t>
        </is>
      </c>
    </row>
    <row r="35">
      <c r="A35" s="2" t="inlineStr">
        <is>
          <t>036620</t>
        </is>
      </c>
      <c r="B35" s="2" t="inlineStr">
        <is>
          <t>감성코퍼레이션</t>
        </is>
      </c>
      <c r="C35" s="2" t="inlineStr">
        <is>
          <t>Warren Buffett</t>
        </is>
      </c>
      <c r="D35" s="20" t="inlineStr">
        <is>
          <t>중립</t>
        </is>
      </c>
      <c r="E35" s="4" t="n">
        <v>0.6899999999999999</v>
      </c>
      <c r="F35" s="22" t="inlineStr">
        <is>
          <t>ROE 26.0%는 우수해 질적 경쟁력이 양호해 보인다. 성장률 23.9%도 동반돼 해자 유지력은 나쁘지 않다; 의견 분산도 크고 hold 맥락과 밸류에이션 공백을 감안하면 안전마진 확인 전까지는 중립이 적절하다.</t>
        </is>
      </c>
    </row>
    <row r="36">
      <c r="A36" s="2" t="inlineStr">
        <is>
          <t>036620</t>
        </is>
      </c>
      <c r="B36" s="2" t="inlineStr">
        <is>
          <t>감성코퍼레이션</t>
        </is>
      </c>
      <c r="C36" s="2" t="inlineStr">
        <is>
          <t>Peter Lynch</t>
        </is>
      </c>
      <c r="D36" s="20" t="inlineStr">
        <is>
          <t>중립</t>
        </is>
      </c>
      <c r="E36" s="4" t="n">
        <v>0.58</v>
      </c>
      <c r="F36" s="22" t="inlineStr">
        <is>
          <t>매출 성장 23.9%, ROE 26.0%는 양호하지만 폭발적 성장주라고 부르기엔 한 단계 약합니다. PEG 없이 랭크 12위인 만큼 보수적으로 중립이 맞습니다.</t>
        </is>
      </c>
    </row>
    <row r="37">
      <c r="A37" s="2" t="inlineStr">
        <is>
          <t>036620</t>
        </is>
      </c>
      <c r="B37" s="2" t="inlineStr">
        <is>
          <t>감성코퍼레이션</t>
        </is>
      </c>
      <c r="C37" s="2" t="inlineStr">
        <is>
          <t>Phil Fisher</t>
        </is>
      </c>
      <c r="D37" s="20" t="inlineStr">
        <is>
          <t>중립</t>
        </is>
      </c>
      <c r="E37" s="4" t="n">
        <v>0.65</v>
      </c>
      <c r="F37" s="22" t="inlineStr">
        <is>
          <t>매출 성장률 23.9%와 ROE 26.0%는 실행력과 수익성이 준수하다. 그러나 Fisher 점수 6.3과 hold 신호 조합이라 장기 제품 확장성은 중립으로 본다.</t>
        </is>
      </c>
    </row>
    <row r="38">
      <c r="A38" s="2" t="inlineStr">
        <is>
          <t>278470</t>
        </is>
      </c>
      <c r="B38" s="2" t="inlineStr">
        <is>
          <t>에이피알</t>
        </is>
      </c>
      <c r="C38" s="2" t="inlineStr">
        <is>
          <t>Warren Buffett</t>
        </is>
      </c>
      <c r="D38" s="20" t="inlineStr">
        <is>
          <t>중립</t>
        </is>
      </c>
      <c r="E38" s="4" t="n">
        <v>0.6899999999999999</v>
      </c>
      <c r="F38" s="22" t="inlineStr">
        <is>
          <t>ROE 33.3%는 매우 높아 사업 질과 자본배분 효율이 돋보인다. 성장률 38.0%도 동반돼 해자 유지력은 나쁘지 않다; hold 맥락과 밸류에이션 공백을 감안하면 안전마진 확인 전까지는 중립이 적절하다.</t>
        </is>
      </c>
    </row>
    <row r="39">
      <c r="A39" s="2" t="inlineStr">
        <is>
          <t>278470</t>
        </is>
      </c>
      <c r="B39" s="2" t="inlineStr">
        <is>
          <t>에이피알</t>
        </is>
      </c>
      <c r="C39" s="2" t="inlineStr">
        <is>
          <t>Peter Lynch</t>
        </is>
      </c>
      <c r="D39" s="8" t="inlineStr">
        <is>
          <t>매수</t>
        </is>
      </c>
      <c r="E39" s="4" t="n">
        <v>0.64</v>
      </c>
      <c r="F39" s="22" t="inlineStr">
        <is>
          <t>매출 성장 38.0%와 ROE 33.3%는 린치식 성장주 필터를 꽤 잘 통과하는 숫자입니다. 상위 13위, 예측 수익률 4.8%도 우호적이라 긍정으로 둡니다.</t>
        </is>
      </c>
    </row>
    <row r="40">
      <c r="A40" s="2" t="inlineStr">
        <is>
          <t>278470</t>
        </is>
      </c>
      <c r="B40" s="2" t="inlineStr">
        <is>
          <t>에이피알</t>
        </is>
      </c>
      <c r="C40" s="2" t="inlineStr">
        <is>
          <t>Phil Fisher</t>
        </is>
      </c>
      <c r="D40" s="8" t="inlineStr">
        <is>
          <t>매수</t>
        </is>
      </c>
      <c r="E40" s="4" t="n">
        <v>0.74</v>
      </c>
      <c r="F40" s="22" t="inlineStr">
        <is>
          <t>매출 성장률 38.0%와 ROE 33.3%는 성장 품질과 경영 효율이 모두 강하다. Fisher 점수 6.7이 아주 높진 않지만 상위 랭크와 수익성 수준을 고려하면 장기 성장 관점은 긍정적이다.</t>
        </is>
      </c>
    </row>
    <row r="41">
      <c r="A41" s="2" t="inlineStr">
        <is>
          <t>067160</t>
        </is>
      </c>
      <c r="B41" s="2" t="inlineStr">
        <is>
          <t>SOOP</t>
        </is>
      </c>
      <c r="C41" s="2" t="inlineStr">
        <is>
          <t>Warren Buffett</t>
        </is>
      </c>
      <c r="D41" s="20" t="inlineStr">
        <is>
          <t>중립</t>
        </is>
      </c>
      <c r="E41" s="4" t="n">
        <v>0.7</v>
      </c>
      <c r="F41" s="22" t="inlineStr">
        <is>
          <t>ROE 26.8%는 우수해 질적 경쟁력이 양호해 보인다. 성장률 20.1%도 동반돼 해자 유지력은 나쁘지 않다; hold 맥락과 밸류에이션 공백을 감안하면 안전마진 확인 전까지는 중립이 적절하다.</t>
        </is>
      </c>
    </row>
    <row r="42">
      <c r="A42" s="2" t="inlineStr">
        <is>
          <t>067160</t>
        </is>
      </c>
      <c r="B42" s="2" t="inlineStr">
        <is>
          <t>SOOP</t>
        </is>
      </c>
      <c r="C42" s="2" t="inlineStr">
        <is>
          <t>Peter Lynch</t>
        </is>
      </c>
      <c r="D42" s="20" t="inlineStr">
        <is>
          <t>중립</t>
        </is>
      </c>
      <c r="E42" s="4" t="n">
        <v>0.55</v>
      </c>
      <c r="F42" s="22" t="inlineStr">
        <is>
          <t>매출 성장 20.1%와 ROE 26.8%는 나쁘지 않지만 성장 프리미엄을 적극 줄 수준인지 확신하기 어렵습니다. 린치 점수도 낮고 PEG가 없어 중립이 적절합니다.</t>
        </is>
      </c>
    </row>
    <row r="43">
      <c r="A43" s="2" t="inlineStr">
        <is>
          <t>067160</t>
        </is>
      </c>
      <c r="B43" s="2" t="inlineStr">
        <is>
          <t>SOOP</t>
        </is>
      </c>
      <c r="C43" s="2" t="inlineStr">
        <is>
          <t>Phil Fisher</t>
        </is>
      </c>
      <c r="D43" s="8" t="inlineStr">
        <is>
          <t>매수</t>
        </is>
      </c>
      <c r="E43" s="4" t="n">
        <v>0.74</v>
      </c>
      <c r="F43" s="22" t="inlineStr">
        <is>
          <t>매출 성장률 20.1%와 ROE 26.8%는 안정적인 장기 성장 구조를 시사한다. Fisher 점수 7.5가 높아 제품 경쟁력 기대를 반영해 bullish로 본다.</t>
        </is>
      </c>
    </row>
    <row r="44">
      <c r="A44" s="2" t="inlineStr">
        <is>
          <t>003230</t>
        </is>
      </c>
      <c r="B44" s="2" t="inlineStr">
        <is>
          <t>삼양식품</t>
        </is>
      </c>
      <c r="C44" s="2" t="inlineStr">
        <is>
          <t>Warren Buffett</t>
        </is>
      </c>
      <c r="D44" s="20" t="inlineStr">
        <is>
          <t>중립</t>
        </is>
      </c>
      <c r="E44" s="4" t="n">
        <v>0.68</v>
      </c>
      <c r="F44" s="22" t="inlineStr">
        <is>
          <t>ROE 32.8%는 매우 높아 사업 질과 자본배분 효율이 돋보인다. 성장률 44.9%도 동반돼 해자 유지력은 나쁘지 않다; hold 맥락과 밸류에이션 공백을 감안하면 안전마진 확인 전까지는 중립이 적절하다.</t>
        </is>
      </c>
    </row>
    <row r="45">
      <c r="A45" s="2" t="inlineStr">
        <is>
          <t>003230</t>
        </is>
      </c>
      <c r="B45" s="2" t="inlineStr">
        <is>
          <t>삼양식품</t>
        </is>
      </c>
      <c r="C45" s="2" t="inlineStr">
        <is>
          <t>Peter Lynch</t>
        </is>
      </c>
      <c r="D45" s="8" t="inlineStr">
        <is>
          <t>매수</t>
        </is>
      </c>
      <c r="E45" s="4" t="n">
        <v>0.6899999999999999</v>
      </c>
      <c r="F45" s="22" t="inlineStr">
        <is>
          <t>매출 성장 44.9%, ROE 32.8%는 상위권에서 꽤 설득력 있는 성장 조합입니다. predict는 hold지만 랭크 15위 안에서 이 정도 숫자면 린치식으로 긍정 해석이 가능합니다.</t>
        </is>
      </c>
    </row>
    <row r="46">
      <c r="A46" s="2" t="inlineStr">
        <is>
          <t>003230</t>
        </is>
      </c>
      <c r="B46" s="2" t="inlineStr">
        <is>
          <t>삼양식품</t>
        </is>
      </c>
      <c r="C46" s="2" t="inlineStr">
        <is>
          <t>Phil Fisher</t>
        </is>
      </c>
      <c r="D46" s="8" t="inlineStr">
        <is>
          <t>매수</t>
        </is>
      </c>
      <c r="E46" s="4" t="n">
        <v>0.75</v>
      </c>
      <c r="F46" s="22" t="inlineStr">
        <is>
          <t>매출 성장률 44.9%와 ROE 32.8%는 브랜드 확장과 실행력이 매우 강한 편이다. Fisher 점수 7.2와 상위권 랭크를 보면 장기 성장주 관점에서 우호적이다.</t>
        </is>
      </c>
    </row>
    <row r="47">
      <c r="A47" s="2" t="inlineStr">
        <is>
          <t>145020</t>
        </is>
      </c>
      <c r="B47" s="2" t="inlineStr">
        <is>
          <t>휴젤</t>
        </is>
      </c>
      <c r="C47" s="2" t="inlineStr">
        <is>
          <t>Warren Buffett</t>
        </is>
      </c>
      <c r="D47" s="20" t="inlineStr">
        <is>
          <t>중립</t>
        </is>
      </c>
      <c r="E47" s="4" t="n">
        <v>0.64</v>
      </c>
      <c r="F47" s="22" t="inlineStr">
        <is>
          <t>ROE 17.0%는 무난하지만 버핏식 최상급 품질로 보긴 이르다. 성장률 16.7%는 완만해 실적 가시성은 무난한 편이다; 의견 분산도 크고 hold 맥락과 밸류에이션 공백을 감안하면 안전마진 확인 전까지는 중립이 적절하다.</t>
        </is>
      </c>
    </row>
    <row r="48">
      <c r="A48" s="2" t="inlineStr">
        <is>
          <t>145020</t>
        </is>
      </c>
      <c r="B48" s="2" t="inlineStr">
        <is>
          <t>휴젤</t>
        </is>
      </c>
      <c r="C48" s="2" t="inlineStr">
        <is>
          <t>Peter Lynch</t>
        </is>
      </c>
      <c r="D48" s="20" t="inlineStr">
        <is>
          <t>중립</t>
        </is>
      </c>
      <c r="E48" s="4" t="n">
        <v>0.53</v>
      </c>
      <c r="F48" s="22" t="inlineStr">
        <is>
          <t>매출 성장 16.7%와 ROE 17.0%는 안정적일 수 있어도 린치가 강하게 찾는 고성장 그림은 아닙니다. 밸류에이션 정보까지 비어 있어 중립으로 두는 편이 안전합니다.</t>
        </is>
      </c>
    </row>
    <row r="49">
      <c r="A49" s="2" t="inlineStr">
        <is>
          <t>145020</t>
        </is>
      </c>
      <c r="B49" s="2" t="inlineStr">
        <is>
          <t>휴젤</t>
        </is>
      </c>
      <c r="C49" s="2" t="inlineStr">
        <is>
          <t>Phil Fisher</t>
        </is>
      </c>
      <c r="D49" s="20" t="inlineStr">
        <is>
          <t>중립</t>
        </is>
      </c>
      <c r="E49" s="4" t="n">
        <v>0.64</v>
      </c>
      <c r="F49" s="22" t="inlineStr">
        <is>
          <t>ROE 17.0%와 매출 성장률 16.7%는 나쁘지 않지만 상위 성장주로 보기에는 속도가 다소 완만하다. Fisher 점수 7.0이 받쳐주지만 hold 컨텍스트라 중립이 적절하다.</t>
        </is>
      </c>
    </row>
    <row r="50">
      <c r="A50" s="2" t="inlineStr">
        <is>
          <t>326030</t>
        </is>
      </c>
      <c r="B50" s="2" t="inlineStr">
        <is>
          <t>SK바이오팜</t>
        </is>
      </c>
      <c r="C50" s="2" t="inlineStr">
        <is>
          <t>Warren Buffett</t>
        </is>
      </c>
      <c r="D50" s="20" t="inlineStr">
        <is>
          <t>중립</t>
        </is>
      </c>
      <c r="E50" s="4" t="n">
        <v>0.68</v>
      </c>
      <c r="F50" s="22" t="inlineStr">
        <is>
          <t>ROE 39.5%는 매우 높아 사업 질과 자본배분 효율이 돋보인다. 성장률 54.3%도 동반돼 해자 유지력은 나쁘지 않다; hold 맥락과 밸류에이션 공백을 감안하면 안전마진 확인 전까지는 중립이 적절하다.</t>
        </is>
      </c>
    </row>
    <row r="51">
      <c r="A51" s="2" t="inlineStr">
        <is>
          <t>326030</t>
        </is>
      </c>
      <c r="B51" s="2" t="inlineStr">
        <is>
          <t>SK바이오팜</t>
        </is>
      </c>
      <c r="C51" s="2" t="inlineStr">
        <is>
          <t>Peter Lynch</t>
        </is>
      </c>
      <c r="D51" s="8" t="inlineStr">
        <is>
          <t>매수</t>
        </is>
      </c>
      <c r="E51" s="4" t="n">
        <v>0.63</v>
      </c>
      <c r="F51" s="22" t="inlineStr">
        <is>
          <t>매출 성장 54.3%와 ROE 39.5%는 성장과 수익성이 동시에 강합니다. 랭크 17위로 다소 내려오지만 입력 숫자만 보면 린치식 성장 스토리는 여전히 살아 있습니다.</t>
        </is>
      </c>
    </row>
    <row r="52">
      <c r="A52" s="2" t="inlineStr">
        <is>
          <t>326030</t>
        </is>
      </c>
      <c r="B52" s="2" t="inlineStr">
        <is>
          <t>SK바이오팜</t>
        </is>
      </c>
      <c r="C52" s="2" t="inlineStr">
        <is>
          <t>Phil Fisher</t>
        </is>
      </c>
      <c r="D52" s="8" t="inlineStr">
        <is>
          <t>매수</t>
        </is>
      </c>
      <c r="E52" s="4" t="n">
        <v>0.74</v>
      </c>
      <c r="F52" s="22" t="inlineStr">
        <is>
          <t>매출 성장률 54.3%와 ROE 39.5%는 장기 성장 스토리와 실행력을 강하게 뒷받침한다. Fisher 점수 7.5와 상위권 랭크를 고려하면 재투자 runway 평가는 긍정적이다.</t>
        </is>
      </c>
    </row>
    <row r="53">
      <c r="A53" s="2" t="inlineStr">
        <is>
          <t>214450</t>
        </is>
      </c>
      <c r="B53" s="2" t="inlineStr">
        <is>
          <t>파마리서치</t>
        </is>
      </c>
      <c r="C53" s="2" t="inlineStr">
        <is>
          <t>Warren Buffett</t>
        </is>
      </c>
      <c r="D53" s="20" t="inlineStr">
        <is>
          <t>중립</t>
        </is>
      </c>
      <c r="E53" s="4" t="n">
        <v>0.64</v>
      </c>
      <c r="F53" s="22" t="inlineStr">
        <is>
          <t>ROE 15.6%는 무난하지만 버핏식 최상급 품질로 보긴 이르다. 성장률 34.1%도 동반돼 해자 유지력은 나쁘지 않다; hold 맥락과 밸류에이션 공백을 감안하면 안전마진 확인 전까지는 중립이 적절하다.</t>
        </is>
      </c>
    </row>
    <row r="54">
      <c r="A54" s="2" t="inlineStr">
        <is>
          <t>214450</t>
        </is>
      </c>
      <c r="B54" s="2" t="inlineStr">
        <is>
          <t>파마리서치</t>
        </is>
      </c>
      <c r="C54" s="2" t="inlineStr">
        <is>
          <t>Peter Lynch</t>
        </is>
      </c>
      <c r="D54" s="20" t="inlineStr">
        <is>
          <t>중립</t>
        </is>
      </c>
      <c r="E54" s="4" t="n">
        <v>0.57</v>
      </c>
      <c r="F54" s="22" t="inlineStr">
        <is>
          <t>매출 성장 34.1%는 좋지만 ROE 15.6%는 강한 프랜차이즈형 성장주로 보기엔 다소 평범합니다. PEG 없이 상위권 경계선에 있어 중립이 적절합니다.</t>
        </is>
      </c>
    </row>
    <row r="55">
      <c r="A55" s="2" t="inlineStr">
        <is>
          <t>214450</t>
        </is>
      </c>
      <c r="B55" s="2" t="inlineStr">
        <is>
          <t>파마리서치</t>
        </is>
      </c>
      <c r="C55" s="2" t="inlineStr">
        <is>
          <t>Phil Fisher</t>
        </is>
      </c>
      <c r="D55" s="20" t="inlineStr">
        <is>
          <t>중립</t>
        </is>
      </c>
      <c r="E55" s="4" t="n">
        <v>0.66</v>
      </c>
      <c r="F55" s="22" t="inlineStr">
        <is>
          <t>매출 성장률 34.1%는 좋지만 ROE 15.6%는 Fisher식 최고급 성장주 기준으로는 아주 강하진 않다. Fisher 점수 6.9와 hold 맥락을 감안해 중립으로 본다.</t>
        </is>
      </c>
    </row>
    <row r="56">
      <c r="A56" s="2" t="inlineStr">
        <is>
          <t>140860</t>
        </is>
      </c>
      <c r="B56" s="2" t="inlineStr">
        <is>
          <t>파크시스템스</t>
        </is>
      </c>
      <c r="C56" s="2" t="inlineStr">
        <is>
          <t>Warren Buffett</t>
        </is>
      </c>
      <c r="D56" s="20" t="inlineStr">
        <is>
          <t>중립</t>
        </is>
      </c>
      <c r="E56" s="4" t="n">
        <v>0.63</v>
      </c>
      <c r="F56" s="22" t="inlineStr">
        <is>
          <t>ROE 22.8%는 우수해 질적 경쟁력이 양호해 보인다. 성장률 20.9%도 동반돼 해자 유지력은 나쁘지 않다; 의견 분산도 크고 hold 맥락과 밸류에이션 공백을 감안하면 안전마진 확인 전까지는 중립이 적절하다.</t>
        </is>
      </c>
    </row>
    <row r="57">
      <c r="A57" s="2" t="inlineStr">
        <is>
          <t>140860</t>
        </is>
      </c>
      <c r="B57" s="2" t="inlineStr">
        <is>
          <t>파크시스템스</t>
        </is>
      </c>
      <c r="C57" s="2" t="inlineStr">
        <is>
          <t>Peter Lynch</t>
        </is>
      </c>
      <c r="D57" s="20" t="inlineStr">
        <is>
          <t>중립</t>
        </is>
      </c>
      <c r="E57" s="4" t="n">
        <v>0.55</v>
      </c>
      <c r="F57" s="22" t="inlineStr">
        <is>
          <t>매출 성장 20.9%, ROE 22.8%는 괜찮지만 린치식으로 강한 업사이드를 주장하려면 추가 성장 증거가 더 필요합니다. predict hold와 valuation 공백을 반영해 중립으로 봅니다.</t>
        </is>
      </c>
    </row>
    <row r="58">
      <c r="A58" s="2" t="inlineStr">
        <is>
          <t>140860</t>
        </is>
      </c>
      <c r="B58" s="2" t="inlineStr">
        <is>
          <t>파크시스템스</t>
        </is>
      </c>
      <c r="C58" s="2" t="inlineStr">
        <is>
          <t>Phil Fisher</t>
        </is>
      </c>
      <c r="D58" s="20" t="inlineStr">
        <is>
          <t>중립</t>
        </is>
      </c>
      <c r="E58" s="4" t="n">
        <v>0.64</v>
      </c>
      <c r="F58" s="22" t="inlineStr">
        <is>
          <t>매출 성장률 20.9%와 ROE 22.8%는 장기 성장 품질이 무난한 편이다. 다만 predicted return 4.4와 중위권 이후 랭크를 보면 재평가 여지는 있으나 확신은 제한적이다.</t>
        </is>
      </c>
    </row>
    <row r="59">
      <c r="A59" s="2" t="inlineStr">
        <is>
          <t>011200</t>
        </is>
      </c>
      <c r="B59" s="2" t="inlineStr">
        <is>
          <t>HMM</t>
        </is>
      </c>
      <c r="C59" s="2" t="inlineStr">
        <is>
          <t>Warren Buffett</t>
        </is>
      </c>
      <c r="D59" s="21" t="inlineStr">
        <is>
          <t>매도</t>
        </is>
      </c>
      <c r="E59" s="4" t="n">
        <v>0.58</v>
      </c>
      <c r="F59" s="22" t="inlineStr">
        <is>
          <t>ROE 13.6%는 버핏식 고품질 기준에는 다소 약하다. 성장률 39.3%도 동반돼 해자 유지력은 나쁘지 않다; 밸류에이션 정보가 비어 있고 이 수준의 질 지표만으로는 버핏식 매수 근거가 부족하다.</t>
        </is>
      </c>
    </row>
    <row r="60">
      <c r="A60" s="2" t="inlineStr">
        <is>
          <t>011200</t>
        </is>
      </c>
      <c r="B60" s="2" t="inlineStr">
        <is>
          <t>HMM</t>
        </is>
      </c>
      <c r="C60" s="2" t="inlineStr">
        <is>
          <t>Peter Lynch</t>
        </is>
      </c>
      <c r="D60" s="20" t="inlineStr">
        <is>
          <t>중립</t>
        </is>
      </c>
      <c r="E60" s="4" t="n">
        <v>0.54</v>
      </c>
      <c r="F60" s="22" t="inlineStr">
        <is>
          <t>매출 성장 39.3%는 좋지만 ROE 13.6%가 낮아 실적의 질을 더 확인하고 싶어집니다. 상위 20위권이고 PEG도 없어 강세보다 중립이 자연스럽습니다.</t>
        </is>
      </c>
    </row>
    <row r="61">
      <c r="A61" s="2" t="inlineStr">
        <is>
          <t>011200</t>
        </is>
      </c>
      <c r="B61" s="2" t="inlineStr">
        <is>
          <t>HMM</t>
        </is>
      </c>
      <c r="C61" s="2" t="inlineStr">
        <is>
          <t>Phil Fisher</t>
        </is>
      </c>
      <c r="D61" s="20" t="inlineStr">
        <is>
          <t>중립</t>
        </is>
      </c>
      <c r="E61" s="4" t="n">
        <v>0.62</v>
      </c>
      <c r="F61" s="22" t="inlineStr">
        <is>
          <t>매출 성장률 39.3%는 높지만 ROE 13.6%로 자본 효율이 Fisher 관점에서 충분히 강하다고 보긴 어렵다. hold 신호와 Fisher 점수 6.8을 감안하면 장기 품질 성장주로는 중립이다.</t>
        </is>
      </c>
    </row>
    <row r="62">
      <c r="A62" s="2" t="inlineStr">
        <is>
          <t>058470</t>
        </is>
      </c>
      <c r="B62" s="2" t="inlineStr">
        <is>
          <t>리노공업</t>
        </is>
      </c>
      <c r="C62" s="2" t="inlineStr">
        <is>
          <t>Warren Buffett</t>
        </is>
      </c>
      <c r="D62" s="21" t="inlineStr">
        <is>
          <t>매도</t>
        </is>
      </c>
      <c r="E62" s="4" t="n">
        <v>0.59</v>
      </c>
      <c r="F62" s="22" t="inlineStr">
        <is>
          <t>ROE 18.2%는 무난하지만 버핏식 최상급 품질로 보긴 이르다. 성장률 8.8%로는 이익 가시성이 강하다고 보기 어렵다; 의견 분산도 크고 밸류에이션 정보가 비어 있고 이 수준의 질 지표만으로는 버핏식 매수 근거가 부족하다.</t>
        </is>
      </c>
    </row>
    <row r="63">
      <c r="A63" s="2" t="inlineStr">
        <is>
          <t>058470</t>
        </is>
      </c>
      <c r="B63" s="2" t="inlineStr">
        <is>
          <t>리노공업</t>
        </is>
      </c>
      <c r="C63" s="2" t="inlineStr">
        <is>
          <t>Peter Lynch</t>
        </is>
      </c>
      <c r="D63" s="21" t="inlineStr">
        <is>
          <t>매도</t>
        </is>
      </c>
      <c r="E63" s="4" t="n">
        <v>0.67</v>
      </c>
      <c r="F63" s="22" t="inlineStr">
        <is>
          <t>매출 성장 8.8%는 린치식 성장주 기준으로는 너무 낮고, 이 정도 성장이라면 valuation 확인이 더 중요해집니다. 그런데 PE·PEG가 비어 있어 보수적으로 약세 판단입니다.</t>
        </is>
      </c>
    </row>
    <row r="64">
      <c r="A64" s="2" t="inlineStr">
        <is>
          <t>058470</t>
        </is>
      </c>
      <c r="B64" s="2" t="inlineStr">
        <is>
          <t>리노공업</t>
        </is>
      </c>
      <c r="C64" s="2" t="inlineStr">
        <is>
          <t>Phil Fisher</t>
        </is>
      </c>
      <c r="D64" s="21" t="inlineStr">
        <is>
          <t>매도</t>
        </is>
      </c>
      <c r="E64" s="4" t="n">
        <v>0.5600000000000001</v>
      </c>
      <c r="F64" s="22" t="inlineStr">
        <is>
          <t>ROE 18.2%는 양호하지만 매출 성장률 8.8%로 장기 재투자 runway가 짧아 보인다. Fisher 점수 5.9와 하위권 랭크를 고려하면 성장주 매력은 제한적이다.</t>
        </is>
      </c>
    </row>
    <row r="65">
      <c r="A65" s="2" t="inlineStr">
        <is>
          <t>036930</t>
        </is>
      </c>
      <c r="B65" s="2" t="inlineStr">
        <is>
          <t>주성엔지니어링</t>
        </is>
      </c>
      <c r="C65" s="2" t="inlineStr">
        <is>
          <t>Warren Buffett</t>
        </is>
      </c>
      <c r="D65" s="20" t="inlineStr">
        <is>
          <t>중립</t>
        </is>
      </c>
      <c r="E65" s="4" t="n">
        <v>0.63</v>
      </c>
      <c r="F65" s="22" t="inlineStr">
        <is>
          <t>ROE 18.9%는 무난하지만 버핏식 최상급 품질로 보긴 이르다. 성장률 43.8%도 동반돼 해자 유지력은 나쁘지 않다; hold 맥락과 밸류에이션 공백을 감안하면 안전마진 확인 전까지는 중립이 적절하다.</t>
        </is>
      </c>
    </row>
    <row r="66">
      <c r="A66" s="2" t="inlineStr">
        <is>
          <t>036930</t>
        </is>
      </c>
      <c r="B66" s="2" t="inlineStr">
        <is>
          <t>주성엔지니어링</t>
        </is>
      </c>
      <c r="C66" s="2" t="inlineStr">
        <is>
          <t>Peter Lynch</t>
        </is>
      </c>
      <c r="D66" s="8" t="inlineStr">
        <is>
          <t>매수</t>
        </is>
      </c>
      <c r="E66" s="4" t="n">
        <v>0.6</v>
      </c>
      <c r="F66" s="22" t="inlineStr">
        <is>
          <t>매출 성장 43.8%와 ROE 18.9%는 성장 모멘텀이 충분하고 상위 22위에서도 숫자는 살아 있습니다. PE·PEG 공백 때문에 확신은 제한하지만 방향은 긍정입니다.</t>
        </is>
      </c>
    </row>
    <row r="67">
      <c r="A67" s="2" t="inlineStr">
        <is>
          <t>036930</t>
        </is>
      </c>
      <c r="B67" s="2" t="inlineStr">
        <is>
          <t>주성엔지니어링</t>
        </is>
      </c>
      <c r="C67" s="2" t="inlineStr">
        <is>
          <t>Phil Fisher</t>
        </is>
      </c>
      <c r="D67" s="20" t="inlineStr">
        <is>
          <t>중립</t>
        </is>
      </c>
      <c r="E67" s="4" t="n">
        <v>0.63</v>
      </c>
      <c r="F67" s="22" t="inlineStr">
        <is>
          <t>매출 성장률 43.8%가 강하고 ROE 18.9%도 무난해 장기 스토리는 살아 있다. 다만 fundamental score 3.74와 rank 22를 감안하면 실행 지속성 확인이 더 필요하다.</t>
        </is>
      </c>
    </row>
    <row r="68">
      <c r="A68" s="2" t="inlineStr">
        <is>
          <t>192080</t>
        </is>
      </c>
      <c r="B68" s="2" t="inlineStr">
        <is>
          <t>더블유게임즈</t>
        </is>
      </c>
      <c r="C68" s="2" t="inlineStr">
        <is>
          <t>Warren Buffett</t>
        </is>
      </c>
      <c r="D68" s="21" t="inlineStr">
        <is>
          <t>매도</t>
        </is>
      </c>
      <c r="E68" s="4" t="n">
        <v>0.59</v>
      </c>
      <c r="F68" s="22" t="inlineStr">
        <is>
          <t>ROE 15.6%는 무난하지만 버핏식 최상급 품질로 보긴 이르다. 성장률 8.8%로는 이익 가시성이 강하다고 보기 어렵다; 의견 분산도 크고 밸류에이션 정보가 비어 있고 이 수준의 질 지표만으로는 버핏식 매수 근거가 부족하다.</t>
        </is>
      </c>
    </row>
    <row r="69">
      <c r="A69" s="2" t="inlineStr">
        <is>
          <t>192080</t>
        </is>
      </c>
      <c r="B69" s="2" t="inlineStr">
        <is>
          <t>더블유게임즈</t>
        </is>
      </c>
      <c r="C69" s="2" t="inlineStr">
        <is>
          <t>Peter Lynch</t>
        </is>
      </c>
      <c r="D69" s="21" t="inlineStr">
        <is>
          <t>매도</t>
        </is>
      </c>
      <c r="E69" s="4" t="n">
        <v>0.65</v>
      </c>
      <c r="F69" s="22" t="inlineStr">
        <is>
          <t>매출 성장 8.8%와 ROE 15.6%는 린치가 찾는 빠른 성장과는 거리가 있습니다. 랭크도 하위권으로 내려와 있고 valuation 정보도 없어 약세로 둡니다.</t>
        </is>
      </c>
    </row>
    <row r="70">
      <c r="A70" s="2" t="inlineStr">
        <is>
          <t>192080</t>
        </is>
      </c>
      <c r="B70" s="2" t="inlineStr">
        <is>
          <t>더블유게임즈</t>
        </is>
      </c>
      <c r="C70" s="2" t="inlineStr">
        <is>
          <t>Phil Fisher</t>
        </is>
      </c>
      <c r="D70" s="21" t="inlineStr">
        <is>
          <t>매도</t>
        </is>
      </c>
      <c r="E70" s="4" t="n">
        <v>0.58</v>
      </c>
      <c r="F70" s="22" t="inlineStr">
        <is>
          <t>매출 성장률 8.8%와 ROE 15.6% 조합은 Fisher식 고성장 품질주 기준에 못 미친다. Fisher 점수 5.8과 하위권 랭크라 장기 재투자 매력은 약하다고 본다.</t>
        </is>
      </c>
    </row>
    <row r="71">
      <c r="A71" s="2" t="inlineStr">
        <is>
          <t>084370</t>
        </is>
      </c>
      <c r="B71" s="2" t="inlineStr">
        <is>
          <t>유진테크</t>
        </is>
      </c>
      <c r="C71" s="2" t="inlineStr">
        <is>
          <t>Warren Buffett</t>
        </is>
      </c>
      <c r="D71" s="21" t="inlineStr">
        <is>
          <t>매도</t>
        </is>
      </c>
      <c r="E71" s="4" t="n">
        <v>0.65</v>
      </c>
      <c r="F71" s="22" t="inlineStr">
        <is>
          <t>ROE 15.0%는 무난하지만 버핏식 최상급 품질로 보긴 이르다. 성장률 22.3%도 동반돼 해자 유지력은 나쁘지 않다; 밸류에이션 정보가 비어 있고 이 수준의 질 지표만으로는 버핏식 매수 근거가 부족하다.</t>
        </is>
      </c>
    </row>
    <row r="72">
      <c r="A72" s="2" t="inlineStr">
        <is>
          <t>084370</t>
        </is>
      </c>
      <c r="B72" s="2" t="inlineStr">
        <is>
          <t>유진테크</t>
        </is>
      </c>
      <c r="C72" s="2" t="inlineStr">
        <is>
          <t>Peter Lynch</t>
        </is>
      </c>
      <c r="D72" s="20" t="inlineStr">
        <is>
          <t>중립</t>
        </is>
      </c>
      <c r="E72" s="4" t="n">
        <v>0.54</v>
      </c>
      <c r="F72" s="22" t="inlineStr">
        <is>
          <t>매출 성장 22.3%와 ROE 15.0%는 무난하지만 아주 매력적인 GARP 숫자라고 보긴 어렵습니다. PEG가 없고 랭크 24위라서 중립으로 남깁니다.</t>
        </is>
      </c>
    </row>
    <row r="73">
      <c r="A73" s="2" t="inlineStr">
        <is>
          <t>084370</t>
        </is>
      </c>
      <c r="B73" s="2" t="inlineStr">
        <is>
          <t>유진테크</t>
        </is>
      </c>
      <c r="C73" s="2" t="inlineStr">
        <is>
          <t>Phil Fisher</t>
        </is>
      </c>
      <c r="D73" s="20" t="inlineStr">
        <is>
          <t>중립</t>
        </is>
      </c>
      <c r="E73" s="4" t="n">
        <v>0.61</v>
      </c>
      <c r="F73" s="22" t="inlineStr">
        <is>
          <t>매출 성장률 22.3%는 괜찮지만 ROE 15.0%로 자본 효율은 아주 강하지 않다. Fisher 점수 6.7과 rank 24를 감안하면 장기 성장 품질은 중립이다.</t>
        </is>
      </c>
    </row>
    <row r="74">
      <c r="A74" s="2" t="inlineStr">
        <is>
          <t>041190</t>
        </is>
      </c>
      <c r="B74" s="2" t="inlineStr">
        <is>
          <t>우리기술투자</t>
        </is>
      </c>
      <c r="C74" s="2" t="inlineStr">
        <is>
          <t>Warren Buffett</t>
        </is>
      </c>
      <c r="D74" s="21" t="inlineStr">
        <is>
          <t>매도</t>
        </is>
      </c>
      <c r="E74" s="4" t="n">
        <v>0.61</v>
      </c>
      <c r="F74" s="22" t="inlineStr">
        <is>
          <t>ROE 22.2%는 우수해 질적 경쟁력이 양호해 보인다. 성장률 12.6%는 완만해 실적 가시성은 무난한 편이다; 의견 분산도 크고 밸류에이션 정보가 비어 있고 이 수준의 질 지표만으로는 버핏식 매수 근거가 부족하다.</t>
        </is>
      </c>
    </row>
    <row r="75">
      <c r="A75" s="2" t="inlineStr">
        <is>
          <t>041190</t>
        </is>
      </c>
      <c r="B75" s="2" t="inlineStr">
        <is>
          <t>우리기술투자</t>
        </is>
      </c>
      <c r="C75" s="2" t="inlineStr">
        <is>
          <t>Peter Lynch</t>
        </is>
      </c>
      <c r="D75" s="21" t="inlineStr">
        <is>
          <t>매도</t>
        </is>
      </c>
      <c r="E75" s="4" t="n">
        <v>0.6</v>
      </c>
      <c r="F75" s="22" t="inlineStr">
        <is>
          <t>매출 성장 12.6%는 린치식 성장주 기준에서 약하고, 상위 25위권이면 예측 우위도 제한적입니다. ROE 22.2%는 장점이지만 valuation 공백을 상쇄하진 못합니다.</t>
        </is>
      </c>
    </row>
    <row r="76">
      <c r="A76" s="2" t="inlineStr">
        <is>
          <t>041190</t>
        </is>
      </c>
      <c r="B76" s="2" t="inlineStr">
        <is>
          <t>우리기술투자</t>
        </is>
      </c>
      <c r="C76" s="2" t="inlineStr">
        <is>
          <t>Phil Fisher</t>
        </is>
      </c>
      <c r="D76" s="20" t="inlineStr">
        <is>
          <t>중립</t>
        </is>
      </c>
      <c r="E76" s="4" t="n">
        <v>0.6</v>
      </c>
      <c r="F76" s="22" t="inlineStr">
        <is>
          <t>ROE 22.2%는 좋지만 매출 성장률 12.6%로 재투자 runway 해석은 보수적이어야 한다. Fisher 점수 7.3이 받쳐주지만 낮은 predicted return과 하위권 랭크로 중립이 적절하다.</t>
        </is>
      </c>
    </row>
    <row r="77">
      <c r="A77" s="2" t="inlineStr">
        <is>
          <t>213420</t>
        </is>
      </c>
      <c r="B77" s="2" t="inlineStr">
        <is>
          <t>덕산네오룩스</t>
        </is>
      </c>
      <c r="C77" s="2" t="inlineStr">
        <is>
          <t>Warren Buffett</t>
        </is>
      </c>
      <c r="D77" s="21" t="inlineStr">
        <is>
          <t>매도</t>
        </is>
      </c>
      <c r="E77" s="4" t="n">
        <v>0.57</v>
      </c>
      <c r="F77" s="22" t="inlineStr">
        <is>
          <t>ROE 11.5%는 버핏식 고품질 기준에는 다소 약하다. 성장률 29.7%도 동반돼 해자 유지력은 나쁘지 않다; 밸류에이션 정보가 비어 있고 이 수준의 질 지표만으로는 버핏식 매수 근거가 부족하다.</t>
        </is>
      </c>
    </row>
    <row r="78">
      <c r="A78" s="2" t="inlineStr">
        <is>
          <t>213420</t>
        </is>
      </c>
      <c r="B78" s="2" t="inlineStr">
        <is>
          <t>덕산네오룩스</t>
        </is>
      </c>
      <c r="C78" s="2" t="inlineStr">
        <is>
          <t>Peter Lynch</t>
        </is>
      </c>
      <c r="D78" s="20" t="inlineStr">
        <is>
          <t>중립</t>
        </is>
      </c>
      <c r="E78" s="4" t="n">
        <v>0.53</v>
      </c>
      <c r="F78" s="22" t="inlineStr">
        <is>
          <t>매출 성장 29.7%는 괜찮지만 ROE 11.5%는 성장의 질을 높게 평가하기 어렵게 만듭니다. PEG 없이 랭크 26위인 만큼 중립이 가장 무난합니다.</t>
        </is>
      </c>
    </row>
    <row r="79">
      <c r="A79" s="2" t="inlineStr">
        <is>
          <t>213420</t>
        </is>
      </c>
      <c r="B79" s="2" t="inlineStr">
        <is>
          <t>덕산네오룩스</t>
        </is>
      </c>
      <c r="C79" s="2" t="inlineStr">
        <is>
          <t>Phil Fisher</t>
        </is>
      </c>
      <c r="D79" s="20" t="inlineStr">
        <is>
          <t>중립</t>
        </is>
      </c>
      <c r="E79" s="4" t="n">
        <v>0.59</v>
      </c>
      <c r="F79" s="22" t="inlineStr">
        <is>
          <t>매출 성장률 29.7%는 괜찮지만 ROE 11.5%로 Fisher 관점의 고품질 수익성에는 못 미친다. Fisher 점수 6.6과 하위권 랭크를 고려하면 추가 실행 확인이 필요하다.</t>
        </is>
      </c>
    </row>
    <row r="80">
      <c r="A80" s="2" t="inlineStr">
        <is>
          <t>319660</t>
        </is>
      </c>
      <c r="B80" s="2" t="inlineStr">
        <is>
          <t>피에스케이</t>
        </is>
      </c>
      <c r="C80" s="2" t="inlineStr">
        <is>
          <t>Warren Buffett</t>
        </is>
      </c>
      <c r="D80" s="21" t="inlineStr">
        <is>
          <t>매도</t>
        </is>
      </c>
      <c r="E80" s="4" t="n">
        <v>0.66</v>
      </c>
      <c r="F80" s="22" t="inlineStr">
        <is>
          <t>ROE 16.8%는 무난하지만 버핏식 최상급 품질로 보긴 이르다. 성장률 13.1%는 완만해 실적 가시성은 무난한 편이다; 밸류에이션 정보가 비어 있고 이 수준의 질 지표만으로는 버핏식 매수 근거가 부족하다.</t>
        </is>
      </c>
    </row>
    <row r="81">
      <c r="A81" s="2" t="inlineStr">
        <is>
          <t>319660</t>
        </is>
      </c>
      <c r="B81" s="2" t="inlineStr">
        <is>
          <t>피에스케이</t>
        </is>
      </c>
      <c r="C81" s="2" t="inlineStr">
        <is>
          <t>Peter Lynch</t>
        </is>
      </c>
      <c r="D81" s="21" t="inlineStr">
        <is>
          <t>매도</t>
        </is>
      </c>
      <c r="E81" s="4" t="n">
        <v>0.58</v>
      </c>
      <c r="F81" s="22" t="inlineStr">
        <is>
          <t>매출 성장 13.1%와 ROE 16.8% 조합은 린치가 선호하는 빠른 성장 구간과는 거리가 있습니다. 랭크 27위에 valuation 정보도 비어 있어 약세 쪽입니다.</t>
        </is>
      </c>
    </row>
    <row r="82">
      <c r="A82" s="2" t="inlineStr">
        <is>
          <t>319660</t>
        </is>
      </c>
      <c r="B82" s="2" t="inlineStr">
        <is>
          <t>피에스케이</t>
        </is>
      </c>
      <c r="C82" s="2" t="inlineStr">
        <is>
          <t>Phil Fisher</t>
        </is>
      </c>
      <c r="D82" s="20" t="inlineStr">
        <is>
          <t>중립</t>
        </is>
      </c>
      <c r="E82" s="4" t="n">
        <v>0.58</v>
      </c>
      <c r="F82" s="22" t="inlineStr">
        <is>
          <t>ROE 16.8%와 매출 성장률 13.1%는 장기 성장주로서 강한 조합은 아니다. Fisher 점수 6.1과 rank 27을 감안하면 중립이 적절하다.</t>
        </is>
      </c>
    </row>
    <row r="83">
      <c r="A83" s="2" t="inlineStr">
        <is>
          <t>095610</t>
        </is>
      </c>
      <c r="B83" s="2" t="inlineStr">
        <is>
          <t>테스</t>
        </is>
      </c>
      <c r="C83" s="2" t="inlineStr">
        <is>
          <t>Warren Buffett</t>
        </is>
      </c>
      <c r="D83" s="21" t="inlineStr">
        <is>
          <t>매도</t>
        </is>
      </c>
      <c r="E83" s="4" t="n">
        <v>0.57</v>
      </c>
      <c r="F83" s="22" t="inlineStr">
        <is>
          <t>ROE 12.9%는 버핏식 고품질 기준에는 다소 약하다. 성장률 63.4%도 동반돼 해자 유지력은 나쁘지 않다; 밸류에이션 정보가 비어 있고 이 수준의 질 지표만으로는 버핏식 매수 근거가 부족하다.</t>
        </is>
      </c>
    </row>
    <row r="84">
      <c r="A84" s="2" t="inlineStr">
        <is>
          <t>095610</t>
        </is>
      </c>
      <c r="B84" s="2" t="inlineStr">
        <is>
          <t>테스</t>
        </is>
      </c>
      <c r="C84" s="2" t="inlineStr">
        <is>
          <t>Peter Lynch</t>
        </is>
      </c>
      <c r="D84" s="20" t="inlineStr">
        <is>
          <t>중립</t>
        </is>
      </c>
      <c r="E84" s="4" t="n">
        <v>0.5600000000000001</v>
      </c>
      <c r="F84" s="22" t="inlineStr">
        <is>
          <t>매출 성장 63.4%는 강하지만 ROE 12.9%가 낮아 수익성 동반 성장인지 더 따져봐야 합니다. PEG가 없으니 공격적 강세보다 중립이 적절합니다.</t>
        </is>
      </c>
    </row>
    <row r="85">
      <c r="A85" s="2" t="inlineStr">
        <is>
          <t>095610</t>
        </is>
      </c>
      <c r="B85" s="2" t="inlineStr">
        <is>
          <t>테스</t>
        </is>
      </c>
      <c r="C85" s="2" t="inlineStr">
        <is>
          <t>Phil Fisher</t>
        </is>
      </c>
      <c r="D85" s="20" t="inlineStr">
        <is>
          <t>중립</t>
        </is>
      </c>
      <c r="E85" s="4" t="n">
        <v>0.6</v>
      </c>
      <c r="F85" s="22" t="inlineStr">
        <is>
          <t>매출 성장률 63.4%는 강하지만 ROE 12.9%로 수익성 품질이 아직 완전히 따라오지 못한다. Fisher 점수 6.1과 하위권 랭크를 보면 장기 성장주는 맞아도 확신은 제한적이다.</t>
        </is>
      </c>
    </row>
    <row r="86">
      <c r="A86" s="2" t="inlineStr">
        <is>
          <t>267260</t>
        </is>
      </c>
      <c r="B86" s="2" t="inlineStr">
        <is>
          <t>HD현대일렉트릭</t>
        </is>
      </c>
      <c r="C86" s="2" t="inlineStr">
        <is>
          <t>Warren Buffett</t>
        </is>
      </c>
      <c r="D86" s="20" t="inlineStr">
        <is>
          <t>중립</t>
        </is>
      </c>
      <c r="E86" s="4" t="n">
        <v>0.68</v>
      </c>
      <c r="F86" s="22" t="inlineStr">
        <is>
          <t>ROE 33.1%는 매우 높아 사업 질과 자본배분 효율이 돋보인다. 성장률 22.9%도 동반돼 해자 유지력은 나쁘지 않다; hold 맥락과 밸류에이션 공백을 감안하면 안전마진 확인 전까지는 중립이 적절하다.</t>
        </is>
      </c>
    </row>
    <row r="87">
      <c r="A87" s="2" t="inlineStr">
        <is>
          <t>267260</t>
        </is>
      </c>
      <c r="B87" s="2" t="inlineStr">
        <is>
          <t>HD현대일렉트릭</t>
        </is>
      </c>
      <c r="C87" s="2" t="inlineStr">
        <is>
          <t>Peter Lynch</t>
        </is>
      </c>
      <c r="D87" s="20" t="inlineStr">
        <is>
          <t>중립</t>
        </is>
      </c>
      <c r="E87" s="4" t="n">
        <v>0.57</v>
      </c>
      <c r="F87" s="22" t="inlineStr">
        <is>
          <t>매출 성장 22.9%와 ROE 33.1%는 좋은 편이지만 랭크 29위와 predict hold를 감안하면 기대수익 여유가 넉넉하진 않습니다. 린치식으로는 중립 보유 구간에 가깝습니다.</t>
        </is>
      </c>
    </row>
    <row r="88">
      <c r="A88" s="2" t="inlineStr">
        <is>
          <t>267260</t>
        </is>
      </c>
      <c r="B88" s="2" t="inlineStr">
        <is>
          <t>HD현대일렉트릭</t>
        </is>
      </c>
      <c r="C88" s="2" t="inlineStr">
        <is>
          <t>Phil Fisher</t>
        </is>
      </c>
      <c r="D88" s="20" t="inlineStr">
        <is>
          <t>중립</t>
        </is>
      </c>
      <c r="E88" s="4" t="n">
        <v>0.61</v>
      </c>
      <c r="F88" s="22" t="inlineStr">
        <is>
          <t>ROE 33.1%와 매출 성장률 22.9%는 숫자만 보면 우수하지만 rank 29와 predicted return 3.5가 기대 수익을 낮춘다. Fisher 점수 5.8이라 장기 재투자 매력은 중립으로 본다.</t>
        </is>
      </c>
    </row>
    <row r="89">
      <c r="A89" s="2" t="inlineStr">
        <is>
          <t>183300</t>
        </is>
      </c>
      <c r="B89" s="2" t="inlineStr">
        <is>
          <t>코미코</t>
        </is>
      </c>
      <c r="C89" s="2" t="inlineStr">
        <is>
          <t>Warren Buffett</t>
        </is>
      </c>
      <c r="D89" s="21" t="inlineStr">
        <is>
          <t>매도</t>
        </is>
      </c>
      <c r="E89" s="4" t="n">
        <v>0.61</v>
      </c>
      <c r="F89" s="22" t="inlineStr">
        <is>
          <t>ROE 23.4%는 우수해 질적 경쟁력이 양호해 보인다. 성장률 65.0%도 동반돼 해자 유지력은 나쁘지 않다; 밸류에이션 정보가 비어 있고 이 수준의 질 지표만으로는 버핏식 매수 근거가 부족하다.</t>
        </is>
      </c>
    </row>
    <row r="90">
      <c r="A90" s="2" t="inlineStr">
        <is>
          <t>183300</t>
        </is>
      </c>
      <c r="B90" s="2" t="inlineStr">
        <is>
          <t>코미코</t>
        </is>
      </c>
      <c r="C90" s="2" t="inlineStr">
        <is>
          <t>Peter Lynch</t>
        </is>
      </c>
      <c r="D90" s="8" t="inlineStr">
        <is>
          <t>매수</t>
        </is>
      </c>
      <c r="E90" s="4" t="n">
        <v>0.61</v>
      </c>
      <c r="F90" s="22" t="inlineStr">
        <is>
          <t>매출 성장 65.0%와 ROE 23.4%는 하위 랭크권에서도 눈에 띄는 성장 조합입니다. PE·PEG가 비어 있어 강한 확신은 어렵지만 린치 관점에서는 긍정 우위입니다.</t>
        </is>
      </c>
    </row>
    <row r="91">
      <c r="A91" s="2" t="inlineStr">
        <is>
          <t>183300</t>
        </is>
      </c>
      <c r="B91" s="2" t="inlineStr">
        <is>
          <t>코미코</t>
        </is>
      </c>
      <c r="C91" s="2" t="inlineStr">
        <is>
          <t>Phil Fisher</t>
        </is>
      </c>
      <c r="D91" s="20" t="inlineStr">
        <is>
          <t>중립</t>
        </is>
      </c>
      <c r="E91" s="4" t="n">
        <v>0.6</v>
      </c>
      <c r="F91" s="22" t="inlineStr">
        <is>
          <t>매출 성장률 65.0%와 ROE 23.4%는 인상적이지만 Top30 내 최하위 rank와 predicted return 3.2가 기대치를 제약한다. Fisher 점수 5.8을 감안하면 장기 경쟁력 평가는 중립 수준이다.</t>
        </is>
      </c>
    </row>
  </sheetData>
  <autoFilter ref="A1:F9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s="1" t="inlineStr">
        <is>
          <t>리스크 분석</t>
        </is>
      </c>
    </row>
    <row r="3">
      <c r="A3" s="3" t="inlineStr">
        <is>
          <t>집중도 지표</t>
        </is>
      </c>
      <c r="B3" s="2" t="n"/>
    </row>
    <row r="4">
      <c r="A4" s="2" t="inlineStr">
        <is>
          <t>상위 1종목 비중</t>
        </is>
      </c>
      <c r="B4" s="6" t="n">
        <v>0.1096100278551532</v>
      </c>
    </row>
    <row r="5">
      <c r="A5" s="2" t="inlineStr">
        <is>
          <t>상위 3종목 비중</t>
        </is>
      </c>
      <c r="B5" s="6" t="n">
        <v>0.3181058495821728</v>
      </c>
    </row>
    <row r="6">
      <c r="A6" s="2" t="inlineStr">
        <is>
          <t>상위 5종목 비중</t>
        </is>
      </c>
      <c r="B6" s="6" t="n">
        <v>0.5158774373259053</v>
      </c>
    </row>
    <row r="7">
      <c r="A7" s="2" t="inlineStr">
        <is>
          <t>상위 10종목 비중</t>
        </is>
      </c>
      <c r="B7" s="6" t="n">
        <v>1</v>
      </c>
    </row>
    <row r="8">
      <c r="A8" s="2" t="inlineStr">
        <is>
          <t>HHI (허핀달 지수)</t>
        </is>
      </c>
      <c r="B8" s="23" t="n">
        <v>0.1002023572132432</v>
      </c>
    </row>
    <row r="9">
      <c r="A9" s="2" t="n"/>
      <c r="B9" s="6" t="n"/>
    </row>
    <row r="10">
      <c r="A10" s="3" t="inlineStr">
        <is>
          <t>섹터 집중도</t>
        </is>
      </c>
      <c r="B10" s="6" t="n"/>
    </row>
    <row r="11">
      <c r="A11" s="2" t="inlineStr">
        <is>
          <t>최대 섹터</t>
        </is>
      </c>
      <c r="B11" s="6" t="inlineStr">
        <is>
          <t>N/A</t>
        </is>
      </c>
    </row>
    <row r="12">
      <c r="A12" s="2" t="inlineStr">
        <is>
          <t>상위 3섹터 비중</t>
        </is>
      </c>
      <c r="B12" s="6" t="inlineStr">
        <is>
          <t>N/A</t>
        </is>
      </c>
    </row>
    <row r="13">
      <c r="A13" s="2" t="n"/>
      <c r="B13" s="6" t="n"/>
    </row>
    <row r="14">
      <c r="A14" s="3" t="inlineStr">
        <is>
          <t>투자자 합의 품질</t>
        </is>
      </c>
      <c r="B14" s="6" t="n"/>
    </row>
    <row r="15">
      <c r="A15" s="2" t="inlineStr">
        <is>
          <t>만장일치 비율</t>
        </is>
      </c>
      <c r="B15" s="6" t="n">
        <v>0.6</v>
      </c>
    </row>
    <row r="16">
      <c r="A16" s="2" t="inlineStr">
        <is>
          <t>의견 분산 종목 수</t>
        </is>
      </c>
      <c r="B16" s="24" t="n">
        <v>16</v>
      </c>
    </row>
    <row r="17">
      <c r="A17" s="2" t="n"/>
      <c r="B17" s="2" t="n"/>
    </row>
    <row r="18">
      <c r="A18" s="3" t="inlineStr">
        <is>
          <t>비편입 사유 분포</t>
        </is>
      </c>
      <c r="B18" s="2" t="n"/>
    </row>
    <row r="19">
      <c r="A19" s="2" t="inlineStr">
        <is>
          <t>투자자 과반 미달 (1/3 bullish)</t>
        </is>
      </c>
      <c r="B19" s="2" t="n">
        <v>6</v>
      </c>
    </row>
    <row r="20">
      <c r="A20" s="2" t="inlineStr">
        <is>
          <t>투자자 과반 미달 (0/3 bullish)</t>
        </is>
      </c>
      <c r="B20" s="2" t="n">
        <v>14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2026-03-10T09:32:42Z</dcterms:created>
  <dcterms:modified xmlns:dcterms="http://purl.org/dc/terms/" xmlns:xsi="http://www.w3.org/2001/XMLSchema-instance" xsi:type="dcterms:W3CDTF">2026-03-10T09:32:42Z</dcterms:modified>
</cp:coreProperties>
</file>