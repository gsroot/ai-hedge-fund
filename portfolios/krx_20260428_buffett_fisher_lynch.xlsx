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포트폴리오" sheetId="2" state="visible" r:id="rId2"/>
    <sheet xmlns:r="http://schemas.openxmlformats.org/officeDocument/2006/relationships" name="순위" sheetId="3" state="visible" r:id="rId3"/>
    <sheet xmlns:r="http://schemas.openxmlformats.org/officeDocument/2006/relationships" name="투자자 매트릭스" sheetId="4" state="visible" r:id="rId4"/>
    <sheet xmlns:r="http://schemas.openxmlformats.org/officeDocument/2006/relationships" name="투자자 상세" sheetId="5" state="visible" r:id="rId5"/>
    <sheet xmlns:r="http://schemas.openxmlformats.org/officeDocument/2006/relationships" name="리스크 분석" sheetId="6" state="visible" r:id="rId6"/>
  </sheets>
  <definedNames>
    <definedName name="_xlnm._FilterDatabase" localSheetId="1" hidden="1">'포트폴리오'!$A$1:$M$7</definedName>
    <definedName name="_xlnm._FilterDatabase" localSheetId="2" hidden="1">'순위'!$A$1:$P$31</definedName>
    <definedName name="_xlnm._FilterDatabase" localSheetId="3" hidden="1">'투자자 매트릭스'!$A$1:$G$31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+0.0%;-0.0%"/>
    <numFmt numFmtId="166" formatCode="0.00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</font>
    <font>
      <name val="맑은 고딕"/>
      <b val="1"/>
    </font>
    <font>
      <name val="맑은 고딕"/>
      <b val="1"/>
      <color rgb="00FFFFFF"/>
      <sz val="12"/>
    </font>
    <font>
      <name val="맑은 고딕"/>
      <sz val="10"/>
    </font>
    <font>
      <name val="맑은 고딕"/>
      <color rgb="00375623"/>
    </font>
    <font>
      <name val="맑은 고딕"/>
      <color rgb="00616161"/>
    </font>
    <font>
      <name val="맑은 고딕"/>
      <color rgb="00C62828"/>
    </font>
  </fonts>
  <fills count="8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5F5F5"/>
      </patternFill>
    </fill>
    <fill>
      <patternFill patternType="solid">
        <fgColor rgb="00D6E4F0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164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/>
    </xf>
    <xf numFmtId="164" fontId="5" fillId="4" borderId="1" applyAlignment="1" pivotButton="0" quotePrefix="0" xfId="0">
      <alignment vertical="center"/>
    </xf>
    <xf numFmtId="165" fontId="5" fillId="4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164" fontId="5" fillId="5" borderId="1" applyAlignment="1" pivotButton="0" quotePrefix="0" xfId="0">
      <alignment vertical="center"/>
    </xf>
    <xf numFmtId="165" fontId="5" fillId="5" borderId="1" applyAlignment="1" pivotButton="0" quotePrefix="0" xfId="0">
      <alignment vertical="center"/>
    </xf>
    <xf numFmtId="0" fontId="3" fillId="6" borderId="1" pivotButton="0" quotePrefix="0" xfId="0"/>
    <xf numFmtId="164" fontId="3" fillId="6" borderId="1" pivotButton="0" quotePrefix="0" xfId="0"/>
    <xf numFmtId="165" fontId="3" fillId="6" borderId="1" pivotButton="0" quotePrefix="0" xfId="0"/>
    <xf numFmtId="0" fontId="5" fillId="0" borderId="1" applyAlignment="1" pivotButton="0" quotePrefix="0" xfId="0">
      <alignment vertical="center"/>
    </xf>
    <xf numFmtId="165" fontId="5" fillId="0" borderId="1" applyAlignment="1" pivotButton="0" quotePrefix="0" xfId="0">
      <alignment vertical="center"/>
    </xf>
    <xf numFmtId="164" fontId="5" fillId="0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1" fillId="2" borderId="0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시가총액 분포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'요약'!$A$17:$A$19</f>
            </numRef>
          </cat>
          <val>
            <numRef>
              <f>'요약'!$B$17:$B$19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AI Hedge Fund 포트폴리오 리포트</t>
        </is>
      </c>
    </row>
    <row r="2"/>
    <row r="3">
      <c r="A3" s="2" t="inlineStr">
        <is>
          <t>분석 일자</t>
        </is>
      </c>
      <c r="B3" s="3" t="inlineStr">
        <is>
          <t>2026-04-28</t>
        </is>
      </c>
    </row>
    <row r="4">
      <c r="A4" s="2" t="inlineStr">
        <is>
          <t>분석 대상</t>
        </is>
      </c>
      <c r="B4" s="3" t="inlineStr">
        <is>
          <t>KRX 상위 30개</t>
        </is>
      </c>
    </row>
    <row r="5">
      <c r="A5" s="2" t="inlineStr">
        <is>
          <t>분석 전략</t>
        </is>
      </c>
      <c r="B5" s="3" t="inlineStr">
        <is>
          <t>하이브리드</t>
        </is>
      </c>
    </row>
    <row r="6">
      <c r="A6" s="2" t="inlineStr">
        <is>
          <t>투자자 관점</t>
        </is>
      </c>
      <c r="B6" s="3" t="inlineStr">
        <is>
          <t>W.Buffett, P.Lynch, P.Fisher</t>
        </is>
      </c>
    </row>
    <row r="7"/>
    <row r="8">
      <c r="A8" s="4" t="inlineStr">
        <is>
          <t>포트폴리오 통계</t>
        </is>
      </c>
      <c r="B8" s="3" t="inlineStr"/>
    </row>
    <row r="9">
      <c r="A9" s="2" t="inlineStr">
        <is>
          <t>편입 종목 수</t>
        </is>
      </c>
      <c r="B9" s="3">
        <f>COUNTA('포트폴리오'!B2:B6)&amp;" / 30 ("&amp;TEXT(COUNTA('포트폴리오'!B2:B6)/30,"0.0%")&amp;")"</f>
        <v/>
      </c>
    </row>
    <row r="10">
      <c r="A10" s="2" t="inlineStr">
        <is>
          <t>평균 신뢰도</t>
        </is>
      </c>
      <c r="B10" s="5">
        <f>AVERAGE('포트폴리오'!F2:F6)/100</f>
        <v/>
      </c>
    </row>
    <row r="11">
      <c r="A11" s="2" t="inlineStr">
        <is>
          <t>평균 예상 수익률</t>
        </is>
      </c>
      <c r="B11" s="5">
        <f>AVERAGE('포트폴리오'!G2:G6)</f>
        <v/>
      </c>
    </row>
    <row r="12">
      <c r="A12" s="2" t="inlineStr">
        <is>
          <t>강력매수 비중</t>
        </is>
      </c>
      <c r="B12" s="5">
        <f>SUMIF('포트폴리오'!E2:E6,"강력매수",'포트폴리오'!D2:D6)</f>
        <v/>
      </c>
    </row>
    <row r="13">
      <c r="A13" s="2" t="inlineStr">
        <is>
          <t>매수 비중</t>
        </is>
      </c>
      <c r="B13" s="5">
        <f>SUMIF('포트폴리오'!E2:E6,"매수",'포트폴리오'!D2:D6)</f>
        <v/>
      </c>
    </row>
    <row r="14">
      <c r="A14" s="2" t="inlineStr">
        <is>
          <t>현금/대기자금</t>
        </is>
      </c>
      <c r="B14" s="5" t="n">
        <v>0.5</v>
      </c>
    </row>
    <row r="15"/>
    <row r="16">
      <c r="A16" s="4" t="inlineStr">
        <is>
          <t>시가총액 분포</t>
        </is>
      </c>
      <c r="B16" s="3" t="inlineStr"/>
    </row>
    <row r="17">
      <c r="A17" s="3" t="inlineStr">
        <is>
          <t>현금</t>
        </is>
      </c>
      <c r="B17" s="5" t="n">
        <v>0.5</v>
      </c>
    </row>
    <row r="18">
      <c r="A18" s="3" t="inlineStr">
        <is>
          <t>중형주</t>
        </is>
      </c>
      <c r="B18" s="5" t="n">
        <v>0.35</v>
      </c>
    </row>
    <row r="19">
      <c r="A19" s="3" t="inlineStr">
        <is>
          <t>메가캡</t>
        </is>
      </c>
      <c r="B19" s="5" t="n">
        <v>0.15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3" customWidth="1" min="4" max="4"/>
    <col width="8" customWidth="1" min="5" max="5"/>
    <col width="17" customWidth="1" min="6" max="6"/>
    <col width="21" customWidth="1" min="7" max="7"/>
    <col width="8" customWidth="1" min="8" max="8"/>
    <col width="8" customWidth="1" min="9" max="9"/>
    <col width="21" customWidth="1" min="10" max="10"/>
    <col width="8" customWidth="1" min="11" max="11"/>
    <col width="8" customWidth="1" min="12" max="12"/>
    <col width="8" customWidth="1" min="13" max="13"/>
  </cols>
  <sheetData>
    <row r="1" ht="22" customHeight="1">
      <c r="A1" s="6" t="inlineStr">
        <is>
          <t>#</t>
        </is>
      </c>
      <c r="B1" s="6" t="inlineStr">
        <is>
          <t>종목코드</t>
        </is>
      </c>
      <c r="C1" s="6" t="inlineStr">
        <is>
          <t>회사명</t>
        </is>
      </c>
      <c r="D1" s="6" t="inlineStr">
        <is>
          <t>비중</t>
        </is>
      </c>
      <c r="E1" s="6" t="inlineStr">
        <is>
          <t>신호</t>
        </is>
      </c>
      <c r="F1" s="6" t="inlineStr">
        <is>
          <t>신뢰도</t>
        </is>
      </c>
      <c r="G1" s="6" t="inlineStr">
        <is>
          <t>예상수익률</t>
        </is>
      </c>
      <c r="H1" s="6" t="inlineStr">
        <is>
          <t>시가총액</t>
        </is>
      </c>
      <c r="I1" s="6" t="inlineStr">
        <is>
          <t>P/E</t>
        </is>
      </c>
      <c r="J1" s="6" t="inlineStr">
        <is>
          <t>ROE</t>
        </is>
      </c>
      <c r="K1" s="6" t="inlineStr">
        <is>
          <t>PEG</t>
        </is>
      </c>
      <c r="L1" s="6" t="inlineStr">
        <is>
          <t>합의</t>
        </is>
      </c>
      <c r="M1" s="6" t="inlineStr">
        <is>
          <t>섹터</t>
        </is>
      </c>
    </row>
    <row r="2" ht="18" customHeight="1">
      <c r="A2" s="7" t="n">
        <v>1</v>
      </c>
      <c r="B2" s="7" t="inlineStr">
        <is>
          <t>000660</t>
        </is>
      </c>
      <c r="C2" s="7" t="inlineStr">
        <is>
          <t>SK하이닉스</t>
        </is>
      </c>
      <c r="D2" s="8" t="n">
        <v>0.15</v>
      </c>
      <c r="E2" s="7" t="inlineStr">
        <is>
          <t>매수</t>
        </is>
      </c>
      <c r="F2" s="7" t="n">
        <v>73</v>
      </c>
      <c r="G2" s="9" t="n">
        <v>0.123</v>
      </c>
      <c r="H2" s="7" t="inlineStr">
        <is>
          <t>₩921조</t>
        </is>
      </c>
      <c r="I2" s="7" t="inlineStr">
        <is>
          <t>N/A</t>
        </is>
      </c>
      <c r="J2" s="8" t="n">
        <v>0.356</v>
      </c>
      <c r="K2" s="7" t="inlineStr">
        <is>
          <t>N/A</t>
        </is>
      </c>
      <c r="L2" s="7" t="inlineStr">
        <is>
          <t>2/3</t>
        </is>
      </c>
      <c r="M2" s="7" t="inlineStr">
        <is>
          <t>메가캡</t>
        </is>
      </c>
    </row>
    <row r="3" ht="18" customHeight="1">
      <c r="A3" s="7" t="n">
        <v>2</v>
      </c>
      <c r="B3" s="7" t="inlineStr">
        <is>
          <t>062040</t>
        </is>
      </c>
      <c r="C3" s="7" t="inlineStr">
        <is>
          <t>산일전기</t>
        </is>
      </c>
      <c r="D3" s="8" t="n">
        <v>0.08749999999999999</v>
      </c>
      <c r="E3" s="7" t="inlineStr">
        <is>
          <t>매수</t>
        </is>
      </c>
      <c r="F3" s="7" t="n">
        <v>78</v>
      </c>
      <c r="G3" s="9" t="n">
        <v>0.131</v>
      </c>
      <c r="H3" s="7" t="inlineStr">
        <is>
          <t>₩7.1조</t>
        </is>
      </c>
      <c r="I3" s="7" t="inlineStr">
        <is>
          <t>N/A</t>
        </is>
      </c>
      <c r="J3" s="8" t="n">
        <v>0.254</v>
      </c>
      <c r="K3" s="7" t="inlineStr">
        <is>
          <t>N/A</t>
        </is>
      </c>
      <c r="L3" s="7" t="inlineStr">
        <is>
          <t>2/3</t>
        </is>
      </c>
      <c r="M3" s="7" t="inlineStr">
        <is>
          <t>중형주</t>
        </is>
      </c>
    </row>
    <row r="4" ht="18" customHeight="1">
      <c r="A4" s="7" t="n">
        <v>3</v>
      </c>
      <c r="B4" s="7" t="inlineStr">
        <is>
          <t>483650</t>
        </is>
      </c>
      <c r="C4" s="7" t="inlineStr">
        <is>
          <t>달바글로벌</t>
        </is>
      </c>
      <c r="D4" s="8" t="n">
        <v>0.08749999999999999</v>
      </c>
      <c r="E4" s="7" t="inlineStr">
        <is>
          <t>매수</t>
        </is>
      </c>
      <c r="F4" s="7" t="n">
        <v>74</v>
      </c>
      <c r="G4" s="9" t="n">
        <v>0.124</v>
      </c>
      <c r="H4" s="7" t="inlineStr">
        <is>
          <t>₩2.9조</t>
        </is>
      </c>
      <c r="I4" s="7" t="inlineStr">
        <is>
          <t>N/A</t>
        </is>
      </c>
      <c r="J4" s="8" t="n">
        <v>0.398</v>
      </c>
      <c r="K4" s="7" t="inlineStr">
        <is>
          <t>N/A</t>
        </is>
      </c>
      <c r="L4" s="7" t="inlineStr">
        <is>
          <t>2/3</t>
        </is>
      </c>
      <c r="M4" s="7" t="inlineStr">
        <is>
          <t>중형주</t>
        </is>
      </c>
    </row>
    <row r="5" ht="18" customHeight="1">
      <c r="A5" s="7" t="n">
        <v>4</v>
      </c>
      <c r="B5" s="7" t="inlineStr">
        <is>
          <t>082920</t>
        </is>
      </c>
      <c r="C5" s="7" t="inlineStr">
        <is>
          <t>비츠로셀</t>
        </is>
      </c>
      <c r="D5" s="8" t="n">
        <v>0.08749999999999999</v>
      </c>
      <c r="E5" s="7" t="inlineStr">
        <is>
          <t>매수</t>
        </is>
      </c>
      <c r="F5" s="7" t="n">
        <v>68</v>
      </c>
      <c r="G5" s="9" t="n">
        <v>0.118</v>
      </c>
      <c r="H5" s="7" t="inlineStr">
        <is>
          <t>₩2.4조</t>
        </is>
      </c>
      <c r="I5" s="7" t="inlineStr">
        <is>
          <t>N/A</t>
        </is>
      </c>
      <c r="J5" s="8" t="n">
        <v>0.172</v>
      </c>
      <c r="K5" s="7" t="inlineStr">
        <is>
          <t>N/A</t>
        </is>
      </c>
      <c r="L5" s="7" t="inlineStr">
        <is>
          <t>2/3</t>
        </is>
      </c>
      <c r="M5" s="7" t="inlineStr">
        <is>
          <t>중형주</t>
        </is>
      </c>
    </row>
    <row r="6" ht="18" customHeight="1">
      <c r="A6" s="7" t="n">
        <v>5</v>
      </c>
      <c r="B6" s="7" t="inlineStr">
        <is>
          <t>101490</t>
        </is>
      </c>
      <c r="C6" s="7" t="inlineStr">
        <is>
          <t>에스앤에스텍</t>
        </is>
      </c>
      <c r="D6" s="8" t="n">
        <v>0.08749999999999999</v>
      </c>
      <c r="E6" s="7" t="inlineStr">
        <is>
          <t>매수</t>
        </is>
      </c>
      <c r="F6" s="7" t="n">
        <v>69</v>
      </c>
      <c r="G6" s="9" t="n">
        <v>0.112</v>
      </c>
      <c r="H6" s="7" t="inlineStr">
        <is>
          <t>₩2.2조</t>
        </is>
      </c>
      <c r="I6" s="7" t="inlineStr">
        <is>
          <t>N/A</t>
        </is>
      </c>
      <c r="J6" s="8" t="n">
        <v>0.191</v>
      </c>
      <c r="K6" s="7" t="inlineStr">
        <is>
          <t>N/A</t>
        </is>
      </c>
      <c r="L6" s="7" t="inlineStr">
        <is>
          <t>2/3</t>
        </is>
      </c>
      <c r="M6" s="7" t="inlineStr">
        <is>
          <t>중형주</t>
        </is>
      </c>
    </row>
    <row r="7" ht="18" customHeight="1">
      <c r="A7" s="10" t="n">
        <v>6</v>
      </c>
      <c r="B7" s="10" t="inlineStr">
        <is>
          <t>CASH</t>
        </is>
      </c>
      <c r="C7" s="10" t="inlineStr">
        <is>
          <t>현금/대기자금</t>
        </is>
      </c>
      <c r="D7" s="11" t="n">
        <v>0.5</v>
      </c>
      <c r="E7" s="10" t="inlineStr">
        <is>
          <t>대기</t>
        </is>
      </c>
      <c r="F7" s="10" t="inlineStr">
        <is>
          <t>N/A</t>
        </is>
      </c>
      <c r="G7" s="12" t="n">
        <v>0</v>
      </c>
      <c r="H7" s="10" t="inlineStr">
        <is>
          <t>N/A</t>
        </is>
      </c>
      <c r="I7" s="10" t="inlineStr">
        <is>
          <t>N/A</t>
        </is>
      </c>
      <c r="J7" s="10" t="inlineStr">
        <is>
          <t>N/A</t>
        </is>
      </c>
      <c r="K7" s="10" t="inlineStr">
        <is>
          <t>N/A</t>
        </is>
      </c>
      <c r="L7" s="10" t="inlineStr">
        <is>
          <t>-</t>
        </is>
      </c>
      <c r="M7" s="10" t="inlineStr">
        <is>
          <t>현금</t>
        </is>
      </c>
    </row>
    <row r="8">
      <c r="A8" s="13" t="inlineStr"/>
      <c r="B8" s="13" t="inlineStr"/>
      <c r="C8" s="13" t="inlineStr">
        <is>
          <t>합계/평균</t>
        </is>
      </c>
      <c r="D8" s="14">
        <f>SUM(D2:D7)</f>
        <v/>
      </c>
      <c r="E8" s="13" t="inlineStr"/>
      <c r="F8" s="13">
        <f>AVERAGE(F2:F6)</f>
        <v/>
      </c>
      <c r="G8" s="15">
        <f>AVERAGE(G2:G6)</f>
        <v/>
      </c>
      <c r="H8" s="13" t="inlineStr"/>
      <c r="I8" s="13" t="inlineStr"/>
      <c r="J8" s="13" t="inlineStr"/>
      <c r="K8" s="13" t="inlineStr"/>
      <c r="L8" s="13" t="inlineStr"/>
      <c r="M8" s="13" t="inlineStr"/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21" customWidth="1" min="9" max="9"/>
    <col width="10" customWidth="1" min="10" max="10"/>
    <col width="8" customWidth="1" min="11" max="11"/>
    <col width="8" customWidth="1" min="12" max="12"/>
    <col width="22" customWidth="1" min="13" max="13"/>
    <col width="23" customWidth="1" min="14" max="14"/>
    <col width="8" customWidth="1" min="15" max="15"/>
    <col width="8" customWidth="1" min="16" max="16"/>
  </cols>
  <sheetData>
    <row r="1" ht="22" customHeight="1">
      <c r="A1" s="6" t="inlineStr">
        <is>
          <t>순위</t>
        </is>
      </c>
      <c r="B1" s="6" t="inlineStr">
        <is>
          <t>종목코드</t>
        </is>
      </c>
      <c r="C1" s="6" t="inlineStr">
        <is>
          <t>회사명</t>
        </is>
      </c>
      <c r="D1" s="6" t="inlineStr">
        <is>
          <t>종합점수</t>
        </is>
      </c>
      <c r="E1" s="6" t="inlineStr">
        <is>
          <t>펀더멘털</t>
        </is>
      </c>
      <c r="F1" s="6" t="inlineStr">
        <is>
          <t>모멘텀</t>
        </is>
      </c>
      <c r="G1" s="6" t="inlineStr">
        <is>
          <t>앙상블</t>
        </is>
      </c>
      <c r="H1" s="6" t="inlineStr">
        <is>
          <t>신호</t>
        </is>
      </c>
      <c r="I1" s="6" t="inlineStr">
        <is>
          <t>예상수익률</t>
        </is>
      </c>
      <c r="J1" s="6" t="inlineStr">
        <is>
          <t>시가총액</t>
        </is>
      </c>
      <c r="K1" s="6" t="inlineStr">
        <is>
          <t>P/E</t>
        </is>
      </c>
      <c r="L1" s="6" t="inlineStr">
        <is>
          <t>P/B</t>
        </is>
      </c>
      <c r="M1" s="6" t="inlineStr">
        <is>
          <t>ROE</t>
        </is>
      </c>
      <c r="N1" s="6" t="inlineStr">
        <is>
          <t>매출성장률</t>
        </is>
      </c>
      <c r="O1" s="6" t="inlineStr">
        <is>
          <t>PEG</t>
        </is>
      </c>
      <c r="P1" s="6" t="inlineStr">
        <is>
          <t>편입여부</t>
        </is>
      </c>
    </row>
    <row r="2" ht="18" customHeight="1">
      <c r="A2" s="7" t="n">
        <v>1</v>
      </c>
      <c r="B2" s="7" t="inlineStr">
        <is>
          <t>062040</t>
        </is>
      </c>
      <c r="C2" s="7" t="inlineStr">
        <is>
          <t>산일전기</t>
        </is>
      </c>
      <c r="D2" s="7" t="n">
        <v>6.74</v>
      </c>
      <c r="E2" s="7" t="n">
        <v>5.77</v>
      </c>
      <c r="F2" s="7" t="n">
        <v>9</v>
      </c>
      <c r="G2" s="7" t="n">
        <v>6.44</v>
      </c>
      <c r="H2" s="7" t="inlineStr">
        <is>
          <t>buy</t>
        </is>
      </c>
      <c r="I2" s="9" t="n">
        <v>0.131</v>
      </c>
      <c r="J2" s="7" t="inlineStr">
        <is>
          <t>₩7.1조</t>
        </is>
      </c>
      <c r="K2" s="7" t="inlineStr">
        <is>
          <t>N/A</t>
        </is>
      </c>
      <c r="L2" s="7" t="inlineStr">
        <is>
          <t>N/A</t>
        </is>
      </c>
      <c r="M2" s="8" t="n">
        <v>0.254</v>
      </c>
      <c r="N2" s="9" t="n">
        <v>0.503</v>
      </c>
      <c r="O2" s="7" t="inlineStr">
        <is>
          <t>N/A</t>
        </is>
      </c>
      <c r="P2" s="7" t="inlineStr">
        <is>
          <t>예</t>
        </is>
      </c>
    </row>
    <row r="3" ht="18" customHeight="1">
      <c r="A3" s="7" t="n">
        <v>2</v>
      </c>
      <c r="B3" s="7" t="inlineStr">
        <is>
          <t>483650</t>
        </is>
      </c>
      <c r="C3" s="7" t="inlineStr">
        <is>
          <t>달바글로벌</t>
        </is>
      </c>
      <c r="D3" s="7" t="n">
        <v>6.53</v>
      </c>
      <c r="E3" s="7" t="n">
        <v>5.47</v>
      </c>
      <c r="F3" s="7" t="n">
        <v>9</v>
      </c>
      <c r="G3" s="7" t="n">
        <v>6.22</v>
      </c>
      <c r="H3" s="7" t="inlineStr">
        <is>
          <t>buy</t>
        </is>
      </c>
      <c r="I3" s="9" t="n">
        <v>0.124</v>
      </c>
      <c r="J3" s="7" t="inlineStr">
        <is>
          <t>₩2.9조</t>
        </is>
      </c>
      <c r="K3" s="7" t="inlineStr">
        <is>
          <t>N/A</t>
        </is>
      </c>
      <c r="L3" s="7" t="inlineStr">
        <is>
          <t>N/A</t>
        </is>
      </c>
      <c r="M3" s="8" t="n">
        <v>0.398</v>
      </c>
      <c r="N3" s="9" t="n">
        <v>0.6820000000000001</v>
      </c>
      <c r="O3" s="7" t="inlineStr">
        <is>
          <t>N/A</t>
        </is>
      </c>
      <c r="P3" s="7" t="inlineStr">
        <is>
          <t>예</t>
        </is>
      </c>
    </row>
    <row r="4" ht="18" customHeight="1">
      <c r="A4" s="7" t="n">
        <v>3</v>
      </c>
      <c r="B4" s="7" t="inlineStr">
        <is>
          <t>000660</t>
        </is>
      </c>
      <c r="C4" s="7" t="inlineStr">
        <is>
          <t>SK하이닉스</t>
        </is>
      </c>
      <c r="D4" s="7" t="n">
        <v>6.5</v>
      </c>
      <c r="E4" s="7" t="n">
        <v>5.43</v>
      </c>
      <c r="F4" s="7" t="n">
        <v>9</v>
      </c>
      <c r="G4" s="7" t="n">
        <v>6.09</v>
      </c>
      <c r="H4" s="7" t="inlineStr">
        <is>
          <t>buy</t>
        </is>
      </c>
      <c r="I4" s="9" t="n">
        <v>0.123</v>
      </c>
      <c r="J4" s="7" t="inlineStr">
        <is>
          <t>₩921조</t>
        </is>
      </c>
      <c r="K4" s="7" t="inlineStr">
        <is>
          <t>N/A</t>
        </is>
      </c>
      <c r="L4" s="7" t="inlineStr">
        <is>
          <t>N/A</t>
        </is>
      </c>
      <c r="M4" s="8" t="n">
        <v>0.356</v>
      </c>
      <c r="N4" s="9" t="n">
        <v>0.468</v>
      </c>
      <c r="O4" s="7" t="inlineStr">
        <is>
          <t>N/A</t>
        </is>
      </c>
      <c r="P4" s="7" t="inlineStr">
        <is>
          <t>예</t>
        </is>
      </c>
    </row>
    <row r="5" ht="18" customHeight="1">
      <c r="A5" s="7" t="n">
        <v>4</v>
      </c>
      <c r="B5" s="7" t="inlineStr">
        <is>
          <t>082920</t>
        </is>
      </c>
      <c r="C5" s="7" t="inlineStr">
        <is>
          <t>비츠로셀</t>
        </is>
      </c>
      <c r="D5" s="7" t="n">
        <v>6.36</v>
      </c>
      <c r="E5" s="7" t="n">
        <v>4.8</v>
      </c>
      <c r="F5" s="7" t="n">
        <v>10</v>
      </c>
      <c r="G5" s="7" t="n">
        <v>5.76</v>
      </c>
      <c r="H5" s="7" t="inlineStr">
        <is>
          <t>buy</t>
        </is>
      </c>
      <c r="I5" s="9" t="n">
        <v>0.118</v>
      </c>
      <c r="J5" s="7" t="inlineStr">
        <is>
          <t>₩2.4조</t>
        </is>
      </c>
      <c r="K5" s="7" t="inlineStr">
        <is>
          <t>N/A</t>
        </is>
      </c>
      <c r="L5" s="7" t="inlineStr">
        <is>
          <t>N/A</t>
        </is>
      </c>
      <c r="M5" s="8" t="n">
        <v>0.172</v>
      </c>
      <c r="N5" s="9" t="n">
        <v>0.153</v>
      </c>
      <c r="O5" s="7" t="inlineStr">
        <is>
          <t>N/A</t>
        </is>
      </c>
      <c r="P5" s="7" t="inlineStr">
        <is>
          <t>예</t>
        </is>
      </c>
    </row>
    <row r="6" ht="18" customHeight="1">
      <c r="A6" s="16" t="n">
        <v>5</v>
      </c>
      <c r="B6" s="16" t="inlineStr">
        <is>
          <t>171090</t>
        </is>
      </c>
      <c r="C6" s="16" t="inlineStr">
        <is>
          <t>선익시스템</t>
        </is>
      </c>
      <c r="D6" s="16" t="n">
        <v>6.28</v>
      </c>
      <c r="E6" s="16" t="n">
        <v>4.69</v>
      </c>
      <c r="F6" s="16" t="n">
        <v>10</v>
      </c>
      <c r="G6" s="16" t="n">
        <v>5.25</v>
      </c>
      <c r="H6" s="16" t="inlineStr">
        <is>
          <t>buy</t>
        </is>
      </c>
      <c r="I6" s="17" t="n">
        <v>0.115</v>
      </c>
      <c r="J6" s="16" t="inlineStr">
        <is>
          <t>₩11,568억</t>
        </is>
      </c>
      <c r="K6" s="16" t="inlineStr">
        <is>
          <t>N/A</t>
        </is>
      </c>
      <c r="L6" s="16" t="inlineStr">
        <is>
          <t>N/A</t>
        </is>
      </c>
      <c r="M6" s="18" t="n">
        <v>0.6709999999999999</v>
      </c>
      <c r="N6" s="17" t="n">
        <v>3.567</v>
      </c>
      <c r="O6" s="16" t="inlineStr">
        <is>
          <t>N/A</t>
        </is>
      </c>
      <c r="P6" s="16" t="inlineStr">
        <is>
          <t>아니오</t>
        </is>
      </c>
    </row>
    <row r="7" ht="18" customHeight="1">
      <c r="A7" s="16" t="n">
        <v>6</v>
      </c>
      <c r="B7" s="16" t="inlineStr">
        <is>
          <t>005930</t>
        </is>
      </c>
      <c r="C7" s="16" t="inlineStr">
        <is>
          <t>삼성전자</t>
        </is>
      </c>
      <c r="D7" s="16" t="n">
        <v>6.25</v>
      </c>
      <c r="E7" s="16" t="n">
        <v>3.18</v>
      </c>
      <c r="F7" s="16" t="n">
        <v>10</v>
      </c>
      <c r="G7" s="16" t="n">
        <v>3.93</v>
      </c>
      <c r="H7" s="16" t="inlineStr">
        <is>
          <t>buy</t>
        </is>
      </c>
      <c r="I7" s="17" t="n">
        <v>0.114</v>
      </c>
      <c r="J7" s="16" t="inlineStr">
        <is>
          <t>₩1312조</t>
        </is>
      </c>
      <c r="K7" s="16" t="inlineStr">
        <is>
          <t>N/A</t>
        </is>
      </c>
      <c r="L7" s="16" t="inlineStr">
        <is>
          <t>N/A</t>
        </is>
      </c>
      <c r="M7" s="18" t="n">
        <v>0.104</v>
      </c>
      <c r="N7" s="17" t="n">
        <v>0.109</v>
      </c>
      <c r="O7" s="16" t="inlineStr">
        <is>
          <t>N/A</t>
        </is>
      </c>
      <c r="P7" s="16" t="inlineStr">
        <is>
          <t>아니오</t>
        </is>
      </c>
    </row>
    <row r="8" ht="18" customHeight="1">
      <c r="A8" s="16" t="n">
        <v>7</v>
      </c>
      <c r="B8" s="16" t="inlineStr">
        <is>
          <t>023160</t>
        </is>
      </c>
      <c r="C8" s="16" t="inlineStr">
        <is>
          <t>태광</t>
        </is>
      </c>
      <c r="D8" s="16" t="n">
        <v>6.23</v>
      </c>
      <c r="E8" s="16" t="n">
        <v>3.14</v>
      </c>
      <c r="F8" s="16" t="n">
        <v>10</v>
      </c>
      <c r="G8" s="16" t="n">
        <v>3.67</v>
      </c>
      <c r="H8" s="16" t="inlineStr">
        <is>
          <t>buy</t>
        </is>
      </c>
      <c r="I8" s="17" t="n">
        <v>0.113</v>
      </c>
      <c r="J8" s="16" t="inlineStr">
        <is>
          <t>₩12,054억</t>
        </is>
      </c>
      <c r="K8" s="16" t="inlineStr">
        <is>
          <t>N/A</t>
        </is>
      </c>
      <c r="L8" s="16" t="inlineStr">
        <is>
          <t>N/A</t>
        </is>
      </c>
      <c r="M8" s="18" t="n">
        <v>0.098</v>
      </c>
      <c r="N8" s="17" t="n">
        <v>0.113</v>
      </c>
      <c r="O8" s="16" t="inlineStr">
        <is>
          <t>N/A</t>
        </is>
      </c>
      <c r="P8" s="16" t="inlineStr">
        <is>
          <t>아니오</t>
        </is>
      </c>
    </row>
    <row r="9" ht="18" customHeight="1">
      <c r="A9" s="7" t="n">
        <v>8</v>
      </c>
      <c r="B9" s="7" t="inlineStr">
        <is>
          <t>101490</t>
        </is>
      </c>
      <c r="C9" s="7" t="inlineStr">
        <is>
          <t>에스앤에스텍</t>
        </is>
      </c>
      <c r="D9" s="7" t="n">
        <v>6.21</v>
      </c>
      <c r="E9" s="7" t="n">
        <v>5.01</v>
      </c>
      <c r="F9" s="7" t="n">
        <v>9</v>
      </c>
      <c r="G9" s="7" t="n">
        <v>6.05</v>
      </c>
      <c r="H9" s="7" t="inlineStr">
        <is>
          <t>buy</t>
        </is>
      </c>
      <c r="I9" s="9" t="n">
        <v>0.112</v>
      </c>
      <c r="J9" s="7" t="inlineStr">
        <is>
          <t>₩2.2조</t>
        </is>
      </c>
      <c r="K9" s="7" t="inlineStr">
        <is>
          <t>N/A</t>
        </is>
      </c>
      <c r="L9" s="7" t="inlineStr">
        <is>
          <t>N/A</t>
        </is>
      </c>
      <c r="M9" s="8" t="n">
        <v>0.191</v>
      </c>
      <c r="N9" s="9" t="n">
        <v>0.385</v>
      </c>
      <c r="O9" s="7" t="inlineStr">
        <is>
          <t>N/A</t>
        </is>
      </c>
      <c r="P9" s="7" t="inlineStr">
        <is>
          <t>예</t>
        </is>
      </c>
    </row>
    <row r="10" ht="18" customHeight="1">
      <c r="A10" s="16" t="n">
        <v>9</v>
      </c>
      <c r="B10" s="16" t="inlineStr">
        <is>
          <t>053610</t>
        </is>
      </c>
      <c r="C10" s="16" t="inlineStr">
        <is>
          <t>프로텍</t>
        </is>
      </c>
      <c r="D10" s="16" t="n">
        <v>6.15</v>
      </c>
      <c r="E10" s="16" t="n">
        <v>3.82</v>
      </c>
      <c r="F10" s="16" t="n">
        <v>9</v>
      </c>
      <c r="G10" s="16" t="n">
        <v>4.4</v>
      </c>
      <c r="H10" s="16" t="inlineStr">
        <is>
          <t>buy</t>
        </is>
      </c>
      <c r="I10" s="17" t="n">
        <v>0.11</v>
      </c>
      <c r="J10" s="16" t="inlineStr">
        <is>
          <t>₩8,558억</t>
        </is>
      </c>
      <c r="K10" s="16" t="inlineStr">
        <is>
          <t>N/A</t>
        </is>
      </c>
      <c r="L10" s="16" t="inlineStr">
        <is>
          <t>N/A</t>
        </is>
      </c>
      <c r="M10" s="18" t="n">
        <v>0.1</v>
      </c>
      <c r="N10" s="17" t="n">
        <v>0.354</v>
      </c>
      <c r="O10" s="16" t="inlineStr">
        <is>
          <t>N/A</t>
        </is>
      </c>
      <c r="P10" s="16" t="inlineStr">
        <is>
          <t>아니오</t>
        </is>
      </c>
    </row>
    <row r="11" ht="18" customHeight="1">
      <c r="A11" s="16" t="n">
        <v>10</v>
      </c>
      <c r="B11" s="16" t="inlineStr">
        <is>
          <t>278470</t>
        </is>
      </c>
      <c r="C11" s="16" t="inlineStr">
        <is>
          <t>에이피알</t>
        </is>
      </c>
      <c r="D11" s="16" t="n">
        <v>6.12</v>
      </c>
      <c r="E11" s="16" t="n">
        <v>4.88</v>
      </c>
      <c r="F11" s="16" t="n">
        <v>9</v>
      </c>
      <c r="G11" s="16" t="n">
        <v>5.5</v>
      </c>
      <c r="H11" s="16" t="inlineStr">
        <is>
          <t>buy</t>
        </is>
      </c>
      <c r="I11" s="17" t="n">
        <v>0.109</v>
      </c>
      <c r="J11" s="16" t="inlineStr">
        <is>
          <t>₩17조</t>
        </is>
      </c>
      <c r="K11" s="16" t="inlineStr">
        <is>
          <t>N/A</t>
        </is>
      </c>
      <c r="L11" s="16" t="inlineStr">
        <is>
          <t>N/A</t>
        </is>
      </c>
      <c r="M11" s="18" t="n">
        <v>0.65</v>
      </c>
      <c r="N11" s="17" t="n">
        <v>1.113</v>
      </c>
      <c r="O11" s="16" t="inlineStr">
        <is>
          <t>N/A</t>
        </is>
      </c>
      <c r="P11" s="16" t="inlineStr">
        <is>
          <t>아니오</t>
        </is>
      </c>
    </row>
    <row r="12" ht="18" customHeight="1">
      <c r="A12" s="16" t="n">
        <v>11</v>
      </c>
      <c r="B12" s="16" t="inlineStr">
        <is>
          <t>042700</t>
        </is>
      </c>
      <c r="C12" s="16" t="inlineStr">
        <is>
          <t>한미반도체</t>
        </is>
      </c>
      <c r="D12" s="16" t="n">
        <v>6.07</v>
      </c>
      <c r="E12" s="16" t="n">
        <v>4.82</v>
      </c>
      <c r="F12" s="16" t="n">
        <v>9</v>
      </c>
      <c r="G12" s="16" t="n">
        <v>5.4</v>
      </c>
      <c r="H12" s="16" t="inlineStr">
        <is>
          <t>buy</t>
        </is>
      </c>
      <c r="I12" s="17" t="n">
        <v>0.108</v>
      </c>
      <c r="J12" s="16" t="inlineStr">
        <is>
          <t>₩36조</t>
        </is>
      </c>
      <c r="K12" s="16" t="inlineStr">
        <is>
          <t>N/A</t>
        </is>
      </c>
      <c r="L12" s="16" t="inlineStr">
        <is>
          <t>N/A</t>
        </is>
      </c>
      <c r="M12" s="18" t="n">
        <v>0.31</v>
      </c>
      <c r="N12" s="17" t="n">
        <v>0.032</v>
      </c>
      <c r="O12" s="16" t="inlineStr">
        <is>
          <t>N/A</t>
        </is>
      </c>
      <c r="P12" s="16" t="inlineStr">
        <is>
          <t>아니오</t>
        </is>
      </c>
    </row>
    <row r="13" ht="18" customHeight="1">
      <c r="A13" s="16" t="n">
        <v>12</v>
      </c>
      <c r="B13" s="16" t="inlineStr">
        <is>
          <t>039030</t>
        </is>
      </c>
      <c r="C13" s="16" t="inlineStr">
        <is>
          <t>이오테크닉스</t>
        </is>
      </c>
      <c r="D13" s="16" t="n">
        <v>5.92</v>
      </c>
      <c r="E13" s="16" t="n">
        <v>3.41</v>
      </c>
      <c r="F13" s="16" t="n">
        <v>9</v>
      </c>
      <c r="G13" s="16" t="n">
        <v>3.98</v>
      </c>
      <c r="H13" s="16" t="inlineStr">
        <is>
          <t>buy</t>
        </is>
      </c>
      <c r="I13" s="17" t="n">
        <v>0.102</v>
      </c>
      <c r="J13" s="16" t="inlineStr">
        <is>
          <t>₩6.2조</t>
        </is>
      </c>
      <c r="K13" s="16" t="inlineStr">
        <is>
          <t>N/A</t>
        </is>
      </c>
      <c r="L13" s="16" t="inlineStr">
        <is>
          <t>N/A</t>
        </is>
      </c>
      <c r="M13" s="18" t="n">
        <v>0.08400000000000001</v>
      </c>
      <c r="N13" s="17" t="n">
        <v>0.187</v>
      </c>
      <c r="O13" s="16" t="inlineStr">
        <is>
          <t>N/A</t>
        </is>
      </c>
      <c r="P13" s="16" t="inlineStr">
        <is>
          <t>아니오</t>
        </is>
      </c>
    </row>
    <row r="14" ht="18" customHeight="1">
      <c r="A14" s="16" t="n">
        <v>13</v>
      </c>
      <c r="B14" s="16" t="inlineStr">
        <is>
          <t>079550</t>
        </is>
      </c>
      <c r="C14" s="16" t="inlineStr">
        <is>
          <t>LIG디펜스앤에어로스페이스</t>
        </is>
      </c>
      <c r="D14" s="16" t="n">
        <v>5.89</v>
      </c>
      <c r="E14" s="16" t="n">
        <v>2.94</v>
      </c>
      <c r="F14" s="16" t="n">
        <v>9.5</v>
      </c>
      <c r="G14" s="16" t="n">
        <v>3.54</v>
      </c>
      <c r="H14" s="16" t="inlineStr">
        <is>
          <t>buy</t>
        </is>
      </c>
      <c r="I14" s="17" t="n">
        <v>0.101</v>
      </c>
      <c r="J14" s="16" t="inlineStr">
        <is>
          <t>₩21조</t>
        </is>
      </c>
      <c r="K14" s="16" t="inlineStr">
        <is>
          <t>N/A</t>
        </is>
      </c>
      <c r="L14" s="16" t="inlineStr">
        <is>
          <t>N/A</t>
        </is>
      </c>
      <c r="M14" s="18" t="n">
        <v>0.161</v>
      </c>
      <c r="N14" s="17" t="n">
        <v>0.315</v>
      </c>
      <c r="O14" s="16" t="inlineStr">
        <is>
          <t>N/A</t>
        </is>
      </c>
      <c r="P14" s="16" t="inlineStr">
        <is>
          <t>아니오</t>
        </is>
      </c>
    </row>
    <row r="15" ht="18" customHeight="1">
      <c r="A15" s="16" t="n">
        <v>14</v>
      </c>
      <c r="B15" s="16" t="inlineStr">
        <is>
          <t>017960</t>
        </is>
      </c>
      <c r="C15" s="16" t="inlineStr">
        <is>
          <t>한국카본</t>
        </is>
      </c>
      <c r="D15" s="16" t="n">
        <v>5.84</v>
      </c>
      <c r="E15" s="16" t="n">
        <v>3.26</v>
      </c>
      <c r="F15" s="16" t="n">
        <v>9</v>
      </c>
      <c r="G15" s="16" t="n">
        <v>3.93</v>
      </c>
      <c r="H15" s="16" t="inlineStr">
        <is>
          <t>buy</t>
        </is>
      </c>
      <c r="I15" s="17" t="n">
        <v>0.1</v>
      </c>
      <c r="J15" s="16" t="inlineStr">
        <is>
          <t>₩2.7조</t>
        </is>
      </c>
      <c r="K15" s="16" t="inlineStr">
        <is>
          <t>N/A</t>
        </is>
      </c>
      <c r="L15" s="16" t="inlineStr">
        <is>
          <t>N/A</t>
        </is>
      </c>
      <c r="M15" s="18" t="n">
        <v>0.175</v>
      </c>
      <c r="N15" s="17" t="n">
        <v>0.225</v>
      </c>
      <c r="O15" s="16" t="inlineStr">
        <is>
          <t>N/A</t>
        </is>
      </c>
      <c r="P15" s="16" t="inlineStr">
        <is>
          <t>아니오</t>
        </is>
      </c>
    </row>
    <row r="16" ht="18" customHeight="1">
      <c r="A16" s="16" t="n">
        <v>15</v>
      </c>
      <c r="B16" s="16" t="inlineStr">
        <is>
          <t>388210</t>
        </is>
      </c>
      <c r="C16" s="16" t="inlineStr">
        <is>
          <t>씨엠티엑스</t>
        </is>
      </c>
      <c r="D16" s="16" t="n">
        <v>5.8</v>
      </c>
      <c r="E16" s="16" t="n">
        <v>3.18</v>
      </c>
      <c r="F16" s="16" t="n">
        <v>9</v>
      </c>
      <c r="G16" s="16" t="n">
        <v>3.46</v>
      </c>
      <c r="H16" s="16" t="inlineStr">
        <is>
          <t>buy</t>
        </is>
      </c>
      <c r="I16" s="17" t="n">
        <v>0.098</v>
      </c>
      <c r="J16" s="16" t="inlineStr">
        <is>
          <t>₩14,520억</t>
        </is>
      </c>
      <c r="K16" s="16" t="inlineStr">
        <is>
          <t>N/A</t>
        </is>
      </c>
      <c r="L16" s="16" t="inlineStr">
        <is>
          <t>N/A</t>
        </is>
      </c>
      <c r="M16" s="18" t="n">
        <v>-0.118</v>
      </c>
      <c r="N16" s="17" t="n">
        <v>0.478</v>
      </c>
      <c r="O16" s="16" t="inlineStr">
        <is>
          <t>N/A</t>
        </is>
      </c>
      <c r="P16" s="16" t="inlineStr">
        <is>
          <t>아니오</t>
        </is>
      </c>
    </row>
    <row r="17" ht="18" customHeight="1">
      <c r="A17" s="16" t="n">
        <v>16</v>
      </c>
      <c r="B17" s="16" t="inlineStr">
        <is>
          <t>031980</t>
        </is>
      </c>
      <c r="C17" s="16" t="inlineStr">
        <is>
          <t>피에스케이홀딩스</t>
        </is>
      </c>
      <c r="D17" s="16" t="n">
        <v>5.79</v>
      </c>
      <c r="E17" s="16" t="n">
        <v>3.98</v>
      </c>
      <c r="F17" s="16" t="n">
        <v>10</v>
      </c>
      <c r="G17" s="16" t="n">
        <v>4.93</v>
      </c>
      <c r="H17" s="16" t="inlineStr">
        <is>
          <t>buy</t>
        </is>
      </c>
      <c r="I17" s="17" t="n">
        <v>0.09699999999999999</v>
      </c>
      <c r="J17" s="16" t="inlineStr">
        <is>
          <t>₩2.5조</t>
        </is>
      </c>
      <c r="K17" s="16" t="inlineStr">
        <is>
          <t>N/A</t>
        </is>
      </c>
      <c r="L17" s="16" t="inlineStr">
        <is>
          <t>N/A</t>
        </is>
      </c>
      <c r="M17" s="18" t="n">
        <v>0.181</v>
      </c>
      <c r="N17" s="17" t="n">
        <v>-0.036</v>
      </c>
      <c r="O17" s="16" t="inlineStr">
        <is>
          <t>N/A</t>
        </is>
      </c>
      <c r="P17" s="16" t="inlineStr">
        <is>
          <t>아니오</t>
        </is>
      </c>
    </row>
    <row r="18" ht="18" customHeight="1">
      <c r="A18" s="16" t="n">
        <v>17</v>
      </c>
      <c r="B18" s="16" t="inlineStr">
        <is>
          <t>103590</t>
        </is>
      </c>
      <c r="C18" s="16" t="inlineStr">
        <is>
          <t>일진전기</t>
        </is>
      </c>
      <c r="D18" s="16" t="n">
        <v>5.78</v>
      </c>
      <c r="E18" s="16" t="n">
        <v>3.14</v>
      </c>
      <c r="F18" s="16" t="n">
        <v>9</v>
      </c>
      <c r="G18" s="16" t="n">
        <v>3.61</v>
      </c>
      <c r="H18" s="16" t="inlineStr">
        <is>
          <t>buy</t>
        </is>
      </c>
      <c r="I18" s="17" t="n">
        <v>0.09699999999999999</v>
      </c>
      <c r="J18" s="16" t="inlineStr">
        <is>
          <t>₩5.2조</t>
        </is>
      </c>
      <c r="K18" s="16" t="inlineStr">
        <is>
          <t>N/A</t>
        </is>
      </c>
      <c r="L18" s="16" t="inlineStr">
        <is>
          <t>N/A</t>
        </is>
      </c>
      <c r="M18" s="18" t="n">
        <v>0.176</v>
      </c>
      <c r="N18" s="17" t="n">
        <v>0.296</v>
      </c>
      <c r="O18" s="16" t="inlineStr">
        <is>
          <t>N/A</t>
        </is>
      </c>
      <c r="P18" s="16" t="inlineStr">
        <is>
          <t>아니오</t>
        </is>
      </c>
    </row>
    <row r="19" ht="18" customHeight="1">
      <c r="A19" s="16" t="n">
        <v>18</v>
      </c>
      <c r="B19" s="16" t="inlineStr">
        <is>
          <t>443060</t>
        </is>
      </c>
      <c r="C19" s="16" t="inlineStr">
        <is>
          <t>HD현대마린솔루션</t>
        </is>
      </c>
      <c r="D19" s="16" t="n">
        <v>5.76</v>
      </c>
      <c r="E19" s="16" t="n">
        <v>4.37</v>
      </c>
      <c r="F19" s="16" t="n">
        <v>9</v>
      </c>
      <c r="G19" s="16" t="n">
        <v>4.92</v>
      </c>
      <c r="H19" s="16" t="inlineStr">
        <is>
          <t>buy</t>
        </is>
      </c>
      <c r="I19" s="17" t="n">
        <v>0.09699999999999999</v>
      </c>
      <c r="J19" s="16" t="inlineStr">
        <is>
          <t>₩13조</t>
        </is>
      </c>
      <c r="K19" s="16" t="inlineStr">
        <is>
          <t>N/A</t>
        </is>
      </c>
      <c r="L19" s="16" t="inlineStr">
        <is>
          <t>N/A</t>
        </is>
      </c>
      <c r="M19" s="18" t="n">
        <v>0.327</v>
      </c>
      <c r="N19" s="17" t="n">
        <v>0.136</v>
      </c>
      <c r="O19" s="16" t="inlineStr">
        <is>
          <t>N/A</t>
        </is>
      </c>
      <c r="P19" s="16" t="inlineStr">
        <is>
          <t>아니오</t>
        </is>
      </c>
    </row>
    <row r="20" ht="18" customHeight="1">
      <c r="A20" s="16" t="n">
        <v>19</v>
      </c>
      <c r="B20" s="16" t="inlineStr">
        <is>
          <t>082740</t>
        </is>
      </c>
      <c r="C20" s="16" t="inlineStr">
        <is>
          <t>한화엔진</t>
        </is>
      </c>
      <c r="D20" s="16" t="n">
        <v>5.76</v>
      </c>
      <c r="E20" s="16" t="n">
        <v>3.11</v>
      </c>
      <c r="F20" s="16" t="n">
        <v>9</v>
      </c>
      <c r="G20" s="16" t="n">
        <v>3.62</v>
      </c>
      <c r="H20" s="16" t="inlineStr">
        <is>
          <t>buy</t>
        </is>
      </c>
      <c r="I20" s="17" t="n">
        <v>0.09699999999999999</v>
      </c>
      <c r="J20" s="16" t="inlineStr">
        <is>
          <t>₩7.4조</t>
        </is>
      </c>
      <c r="K20" s="16" t="inlineStr">
        <is>
          <t>N/A</t>
        </is>
      </c>
      <c r="L20" s="16" t="inlineStr">
        <is>
          <t>N/A</t>
        </is>
      </c>
      <c r="M20" s="18" t="n">
        <v>0.312</v>
      </c>
      <c r="N20" s="17" t="n">
        <v>0.14</v>
      </c>
      <c r="O20" s="16" t="inlineStr">
        <is>
          <t>N/A</t>
        </is>
      </c>
      <c r="P20" s="16" t="inlineStr">
        <is>
          <t>아니오</t>
        </is>
      </c>
    </row>
    <row r="21" ht="18" customHeight="1">
      <c r="A21" s="16" t="n">
        <v>20</v>
      </c>
      <c r="B21" s="16" t="inlineStr">
        <is>
          <t>229640</t>
        </is>
      </c>
      <c r="C21" s="16" t="inlineStr">
        <is>
          <t>LS에코에너지</t>
        </is>
      </c>
      <c r="D21" s="16" t="n">
        <v>5.76</v>
      </c>
      <c r="E21" s="16" t="n">
        <v>3.11</v>
      </c>
      <c r="F21" s="16" t="n">
        <v>9</v>
      </c>
      <c r="G21" s="16" t="n">
        <v>3.48</v>
      </c>
      <c r="H21" s="16" t="inlineStr">
        <is>
          <t>buy</t>
        </is>
      </c>
      <c r="I21" s="17" t="n">
        <v>0.09699999999999999</v>
      </c>
      <c r="J21" s="16" t="inlineStr">
        <is>
          <t>₩2.1조</t>
        </is>
      </c>
      <c r="K21" s="16" t="inlineStr">
        <is>
          <t>N/A</t>
        </is>
      </c>
      <c r="L21" s="16" t="inlineStr">
        <is>
          <t>N/A</t>
        </is>
      </c>
      <c r="M21" s="18" t="n">
        <v>0.215</v>
      </c>
      <c r="N21" s="17" t="n">
        <v>0.105</v>
      </c>
      <c r="O21" s="16" t="inlineStr">
        <is>
          <t>N/A</t>
        </is>
      </c>
      <c r="P21" s="16" t="inlineStr">
        <is>
          <t>아니오</t>
        </is>
      </c>
    </row>
    <row r="22" ht="18" customHeight="1">
      <c r="A22" s="16" t="n">
        <v>21</v>
      </c>
      <c r="B22" s="16" t="inlineStr">
        <is>
          <t>402340</t>
        </is>
      </c>
      <c r="C22" s="16" t="inlineStr">
        <is>
          <t>SK스퀘어</t>
        </is>
      </c>
      <c r="D22" s="16" t="n">
        <v>5.75</v>
      </c>
      <c r="E22" s="16" t="n">
        <v>4.35</v>
      </c>
      <c r="F22" s="16" t="n">
        <v>9</v>
      </c>
      <c r="G22" s="16" t="n">
        <v>4.95</v>
      </c>
      <c r="H22" s="16" t="inlineStr">
        <is>
          <t>buy</t>
        </is>
      </c>
      <c r="I22" s="17" t="n">
        <v>0.096</v>
      </c>
      <c r="J22" s="16" t="inlineStr">
        <is>
          <t>₩104조</t>
        </is>
      </c>
      <c r="K22" s="16" t="inlineStr">
        <is>
          <t>N/A</t>
        </is>
      </c>
      <c r="L22" s="16" t="inlineStr">
        <is>
          <t>N/A</t>
        </is>
      </c>
      <c r="M22" s="18" t="n">
        <v>0.315</v>
      </c>
      <c r="N22" s="17" t="n">
        <v>-0.144</v>
      </c>
      <c r="O22" s="16" t="inlineStr">
        <is>
          <t>N/A</t>
        </is>
      </c>
      <c r="P22" s="16" t="inlineStr">
        <is>
          <t>아니오</t>
        </is>
      </c>
    </row>
    <row r="23" ht="18" customHeight="1">
      <c r="A23" s="16" t="n">
        <v>22</v>
      </c>
      <c r="B23" s="16" t="inlineStr">
        <is>
          <t>298040</t>
        </is>
      </c>
      <c r="C23" s="16" t="inlineStr">
        <is>
          <t>효성중공업</t>
        </is>
      </c>
      <c r="D23" s="16" t="n">
        <v>5.75</v>
      </c>
      <c r="E23" s="16" t="n">
        <v>3.09</v>
      </c>
      <c r="F23" s="16" t="n">
        <v>9</v>
      </c>
      <c r="G23" s="16" t="n">
        <v>3.65</v>
      </c>
      <c r="H23" s="16" t="inlineStr">
        <is>
          <t>buy</t>
        </is>
      </c>
      <c r="I23" s="17" t="n">
        <v>0.096</v>
      </c>
      <c r="J23" s="16" t="inlineStr">
        <is>
          <t>₩37조</t>
        </is>
      </c>
      <c r="K23" s="16" t="inlineStr">
        <is>
          <t>N/A</t>
        </is>
      </c>
      <c r="L23" s="16" t="inlineStr">
        <is>
          <t>N/A</t>
        </is>
      </c>
      <c r="M23" s="18" t="n">
        <v>0.202</v>
      </c>
      <c r="N23" s="17" t="n">
        <v>0.219</v>
      </c>
      <c r="O23" s="16" t="inlineStr">
        <is>
          <t>N/A</t>
        </is>
      </c>
      <c r="P23" s="16" t="inlineStr">
        <is>
          <t>아니오</t>
        </is>
      </c>
    </row>
    <row r="24" ht="18" customHeight="1">
      <c r="A24" s="16" t="n">
        <v>23</v>
      </c>
      <c r="B24" s="16" t="inlineStr">
        <is>
          <t>007660</t>
        </is>
      </c>
      <c r="C24" s="16" t="inlineStr">
        <is>
          <t>이수페타시스</t>
        </is>
      </c>
      <c r="D24" s="16" t="n">
        <v>5.75</v>
      </c>
      <c r="E24" s="16" t="n">
        <v>4.35</v>
      </c>
      <c r="F24" s="16" t="n">
        <v>9</v>
      </c>
      <c r="G24" s="16" t="n">
        <v>5.15</v>
      </c>
      <c r="H24" s="16" t="inlineStr">
        <is>
          <t>buy</t>
        </is>
      </c>
      <c r="I24" s="17" t="n">
        <v>0.096</v>
      </c>
      <c r="J24" s="16" t="inlineStr">
        <is>
          <t>₩11조</t>
        </is>
      </c>
      <c r="K24" s="16" t="inlineStr">
        <is>
          <t>N/A</t>
        </is>
      </c>
      <c r="L24" s="16" t="inlineStr">
        <is>
          <t>N/A</t>
        </is>
      </c>
      <c r="M24" s="18" t="n">
        <v>0.212</v>
      </c>
      <c r="N24" s="17" t="n">
        <v>0.3</v>
      </c>
      <c r="O24" s="16" t="inlineStr">
        <is>
          <t>N/A</t>
        </is>
      </c>
      <c r="P24" s="16" t="inlineStr">
        <is>
          <t>아니오</t>
        </is>
      </c>
    </row>
    <row r="25" ht="18" customHeight="1">
      <c r="A25" s="16" t="n">
        <v>24</v>
      </c>
      <c r="B25" s="16" t="inlineStr">
        <is>
          <t>403870</t>
        </is>
      </c>
      <c r="C25" s="16" t="inlineStr">
        <is>
          <t>HPSP</t>
        </is>
      </c>
      <c r="D25" s="16" t="n">
        <v>5.71</v>
      </c>
      <c r="E25" s="16" t="n">
        <v>4.3</v>
      </c>
      <c r="F25" s="16" t="n">
        <v>9</v>
      </c>
      <c r="G25" s="16" t="n">
        <v>5.14</v>
      </c>
      <c r="H25" s="16" t="inlineStr">
        <is>
          <t>buy</t>
        </is>
      </c>
      <c r="I25" s="17" t="n">
        <v>0.095</v>
      </c>
      <c r="J25" s="16" t="inlineStr">
        <is>
          <t>₩4.5조</t>
        </is>
      </c>
      <c r="K25" s="16" t="inlineStr">
        <is>
          <t>N/A</t>
        </is>
      </c>
      <c r="L25" s="16" t="inlineStr">
        <is>
          <t>N/A</t>
        </is>
      </c>
      <c r="M25" s="18" t="n">
        <v>0.236</v>
      </c>
      <c r="N25" s="17" t="n">
        <v>-0.047</v>
      </c>
      <c r="O25" s="16" t="inlineStr">
        <is>
          <t>N/A</t>
        </is>
      </c>
      <c r="P25" s="16" t="inlineStr">
        <is>
          <t>아니오</t>
        </is>
      </c>
    </row>
    <row r="26" ht="18" customHeight="1">
      <c r="A26" s="16" t="n">
        <v>25</v>
      </c>
      <c r="B26" s="16" t="inlineStr">
        <is>
          <t>267260</t>
        </is>
      </c>
      <c r="C26" s="16" t="inlineStr">
        <is>
          <t>HD현대일렉트릭</t>
        </is>
      </c>
      <c r="D26" s="16" t="n">
        <v>5.66</v>
      </c>
      <c r="E26" s="16" t="n">
        <v>4.23</v>
      </c>
      <c r="F26" s="16" t="n">
        <v>9</v>
      </c>
      <c r="G26" s="16" t="n">
        <v>4.76</v>
      </c>
      <c r="H26" s="16" t="inlineStr">
        <is>
          <t>buy</t>
        </is>
      </c>
      <c r="I26" s="17" t="n">
        <v>0.09300000000000001</v>
      </c>
      <c r="J26" s="16" t="inlineStr">
        <is>
          <t>₩47조</t>
        </is>
      </c>
      <c r="K26" s="16" t="inlineStr">
        <is>
          <t>N/A</t>
        </is>
      </c>
      <c r="L26" s="16" t="inlineStr">
        <is>
          <t>N/A</t>
        </is>
      </c>
      <c r="M26" s="18" t="n">
        <v>0.36</v>
      </c>
      <c r="N26" s="17" t="n">
        <v>0.228</v>
      </c>
      <c r="O26" s="16" t="inlineStr">
        <is>
          <t>N/A</t>
        </is>
      </c>
      <c r="P26" s="16" t="inlineStr">
        <is>
          <t>아니오</t>
        </is>
      </c>
    </row>
    <row r="27" ht="18" customHeight="1">
      <c r="A27" s="16" t="n">
        <v>26</v>
      </c>
      <c r="B27" s="16" t="inlineStr">
        <is>
          <t>071970</t>
        </is>
      </c>
      <c r="C27" s="16" t="inlineStr">
        <is>
          <t>HD현대마린엔진</t>
        </is>
      </c>
      <c r="D27" s="16" t="n">
        <v>5.63</v>
      </c>
      <c r="E27" s="16" t="n">
        <v>4.61</v>
      </c>
      <c r="F27" s="16" t="n">
        <v>8</v>
      </c>
      <c r="G27" s="16" t="n">
        <v>5.31</v>
      </c>
      <c r="H27" s="16" t="inlineStr">
        <is>
          <t>buy</t>
        </is>
      </c>
      <c r="I27" s="17" t="n">
        <v>0.092</v>
      </c>
      <c r="J27" s="16" t="inlineStr">
        <is>
          <t>₩3.9조</t>
        </is>
      </c>
      <c r="K27" s="16" t="inlineStr">
        <is>
          <t>N/A</t>
        </is>
      </c>
      <c r="L27" s="16" t="inlineStr">
        <is>
          <t>N/A</t>
        </is>
      </c>
      <c r="M27" s="18" t="n">
        <v>0.338</v>
      </c>
      <c r="N27" s="17" t="n">
        <v>0.274</v>
      </c>
      <c r="O27" s="16" t="inlineStr">
        <is>
          <t>N/A</t>
        </is>
      </c>
      <c r="P27" s="16" t="inlineStr">
        <is>
          <t>아니오</t>
        </is>
      </c>
    </row>
    <row r="28" ht="18" customHeight="1">
      <c r="A28" s="16" t="n">
        <v>27</v>
      </c>
      <c r="B28" s="16" t="inlineStr">
        <is>
          <t>014620</t>
        </is>
      </c>
      <c r="C28" s="16" t="inlineStr">
        <is>
          <t>성광벤드</t>
        </is>
      </c>
      <c r="D28" s="16" t="n">
        <v>5.63</v>
      </c>
      <c r="E28" s="16" t="n">
        <v>2.88</v>
      </c>
      <c r="F28" s="16" t="n">
        <v>9</v>
      </c>
      <c r="G28" s="16" t="n">
        <v>3.36</v>
      </c>
      <c r="H28" s="16" t="inlineStr">
        <is>
          <t>buy</t>
        </is>
      </c>
      <c r="I28" s="17" t="n">
        <v>0.092</v>
      </c>
      <c r="J28" s="16" t="inlineStr">
        <is>
          <t>₩12,827억</t>
        </is>
      </c>
      <c r="K28" s="16" t="inlineStr">
        <is>
          <t>N/A</t>
        </is>
      </c>
      <c r="L28" s="16" t="inlineStr">
        <is>
          <t>N/A</t>
        </is>
      </c>
      <c r="M28" s="18" t="n">
        <v>0.063</v>
      </c>
      <c r="N28" s="17" t="n">
        <v>0.079</v>
      </c>
      <c r="O28" s="16" t="inlineStr">
        <is>
          <t>N/A</t>
        </is>
      </c>
      <c r="P28" s="16" t="inlineStr">
        <is>
          <t>아니오</t>
        </is>
      </c>
    </row>
    <row r="29" ht="18" customHeight="1">
      <c r="A29" s="16" t="n">
        <v>28</v>
      </c>
      <c r="B29" s="16" t="inlineStr">
        <is>
          <t>033100</t>
        </is>
      </c>
      <c r="C29" s="16" t="inlineStr">
        <is>
          <t>제룡전기</t>
        </is>
      </c>
      <c r="D29" s="16" t="n">
        <v>5.62</v>
      </c>
      <c r="E29" s="16" t="n">
        <v>4.17</v>
      </c>
      <c r="F29" s="16" t="n">
        <v>9</v>
      </c>
      <c r="G29" s="16" t="n">
        <v>4.85</v>
      </c>
      <c r="H29" s="16" t="inlineStr">
        <is>
          <t>buy</t>
        </is>
      </c>
      <c r="I29" s="17" t="n">
        <v>0.092</v>
      </c>
      <c r="J29" s="16" t="inlineStr">
        <is>
          <t>₩9,798억</t>
        </is>
      </c>
      <c r="K29" s="16" t="inlineStr">
        <is>
          <t>N/A</t>
        </is>
      </c>
      <c r="L29" s="16" t="inlineStr">
        <is>
          <t>N/A</t>
        </is>
      </c>
      <c r="M29" s="18" t="n">
        <v>0.245</v>
      </c>
      <c r="N29" s="17" t="n">
        <v>-0.147</v>
      </c>
      <c r="O29" s="16" t="inlineStr">
        <is>
          <t>N/A</t>
        </is>
      </c>
      <c r="P29" s="16" t="inlineStr">
        <is>
          <t>아니오</t>
        </is>
      </c>
    </row>
    <row r="30" ht="18" customHeight="1">
      <c r="A30" s="16" t="n">
        <v>29</v>
      </c>
      <c r="B30" s="16" t="inlineStr">
        <is>
          <t>213420</t>
        </is>
      </c>
      <c r="C30" s="16" t="inlineStr">
        <is>
          <t>덕산네오룩스</t>
        </is>
      </c>
      <c r="D30" s="16" t="n">
        <v>5.57</v>
      </c>
      <c r="E30" s="16" t="n">
        <v>3.57</v>
      </c>
      <c r="F30" s="16" t="n">
        <v>8</v>
      </c>
      <c r="G30" s="16" t="n">
        <v>4.26</v>
      </c>
      <c r="H30" s="16" t="inlineStr">
        <is>
          <t>buy</t>
        </is>
      </c>
      <c r="I30" s="17" t="n">
        <v>0.09</v>
      </c>
      <c r="J30" s="16" t="inlineStr">
        <is>
          <t>₩13,458억</t>
        </is>
      </c>
      <c r="K30" s="16" t="inlineStr">
        <is>
          <t>N/A</t>
        </is>
      </c>
      <c r="L30" s="16" t="inlineStr">
        <is>
          <t>N/A</t>
        </is>
      </c>
      <c r="M30" s="18" t="n">
        <v>0.115</v>
      </c>
      <c r="N30" s="17" t="n">
        <v>0.622</v>
      </c>
      <c r="O30" s="16" t="inlineStr">
        <is>
          <t>N/A</t>
        </is>
      </c>
      <c r="P30" s="16" t="inlineStr">
        <is>
          <t>아니오</t>
        </is>
      </c>
    </row>
    <row r="31" ht="18" customHeight="1">
      <c r="A31" s="16" t="n">
        <v>30</v>
      </c>
      <c r="B31" s="16" t="inlineStr">
        <is>
          <t>322000</t>
        </is>
      </c>
      <c r="C31" s="16" t="inlineStr">
        <is>
          <t>HD현대에너지솔루션</t>
        </is>
      </c>
      <c r="D31" s="16" t="n">
        <v>5.55</v>
      </c>
      <c r="E31" s="16" t="n">
        <v>2.73</v>
      </c>
      <c r="F31" s="16" t="n">
        <v>9</v>
      </c>
      <c r="G31" s="16" t="n">
        <v>3.12</v>
      </c>
      <c r="H31" s="16" t="inlineStr">
        <is>
          <t>buy</t>
        </is>
      </c>
      <c r="I31" s="17" t="n">
        <v>0.08900000000000001</v>
      </c>
      <c r="J31" s="16" t="inlineStr">
        <is>
          <t>₩2.1조</t>
        </is>
      </c>
      <c r="K31" s="16" t="inlineStr">
        <is>
          <t>N/A</t>
        </is>
      </c>
      <c r="L31" s="16" t="inlineStr">
        <is>
          <t>N/A</t>
        </is>
      </c>
      <c r="M31" s="18" t="n">
        <v>0.1</v>
      </c>
      <c r="N31" s="17" t="n">
        <v>0.166</v>
      </c>
      <c r="O31" s="16" t="inlineStr">
        <is>
          <t>N/A</t>
        </is>
      </c>
      <c r="P31" s="16" t="inlineStr">
        <is>
          <t>아니오</t>
        </is>
      </c>
    </row>
  </sheetData>
  <autoFilter ref="A1:P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1" customWidth="1" min="3" max="3"/>
    <col width="9" customWidth="1" min="4" max="4"/>
    <col width="10" customWidth="1" min="5" max="5"/>
    <col width="8" customWidth="1" min="6" max="6"/>
    <col width="8" customWidth="1" min="7" max="7"/>
  </cols>
  <sheetData>
    <row r="1" ht="22" customHeight="1">
      <c r="A1" s="6" t="inlineStr">
        <is>
          <t>종목코드</t>
        </is>
      </c>
      <c r="B1" s="6" t="inlineStr">
        <is>
          <t>회사명</t>
        </is>
      </c>
      <c r="C1" s="6" t="inlineStr">
        <is>
          <t>W.Buffett</t>
        </is>
      </c>
      <c r="D1" s="6" t="inlineStr">
        <is>
          <t>P.Lynch</t>
        </is>
      </c>
      <c r="E1" s="6" t="inlineStr">
        <is>
          <t>P.Fisher</t>
        </is>
      </c>
      <c r="F1" s="6" t="inlineStr">
        <is>
          <t>종합신호</t>
        </is>
      </c>
      <c r="G1" s="6" t="inlineStr">
        <is>
          <t>종합신뢰도</t>
        </is>
      </c>
    </row>
    <row r="2" ht="18" customHeight="1">
      <c r="A2" s="16" t="inlineStr">
        <is>
          <t>062040</t>
        </is>
      </c>
      <c r="B2" s="16" t="inlineStr">
        <is>
          <t>산일전기</t>
        </is>
      </c>
      <c r="C2" s="7" t="inlineStr">
        <is>
          <t>매수(92)</t>
        </is>
      </c>
      <c r="D2" s="10" t="inlineStr">
        <is>
          <t>중립(60)</t>
        </is>
      </c>
      <c r="E2" s="7" t="inlineStr">
        <is>
          <t>매수(82)</t>
        </is>
      </c>
      <c r="F2" s="16" t="inlineStr">
        <is>
          <t>매수</t>
        </is>
      </c>
      <c r="G2" s="16" t="n">
        <v>78</v>
      </c>
    </row>
    <row r="3" ht="18" customHeight="1">
      <c r="A3" s="16" t="inlineStr">
        <is>
          <t>483650</t>
        </is>
      </c>
      <c r="B3" s="16" t="inlineStr">
        <is>
          <t>달바글로벌</t>
        </is>
      </c>
      <c r="C3" s="7" t="inlineStr">
        <is>
          <t>매수(87)</t>
        </is>
      </c>
      <c r="D3" s="10" t="inlineStr">
        <is>
          <t>중립(60)</t>
        </is>
      </c>
      <c r="E3" s="7" t="inlineStr">
        <is>
          <t>매수(74)</t>
        </is>
      </c>
      <c r="F3" s="16" t="inlineStr">
        <is>
          <t>매수</t>
        </is>
      </c>
      <c r="G3" s="16" t="n">
        <v>74</v>
      </c>
    </row>
    <row r="4" ht="18" customHeight="1">
      <c r="A4" s="16" t="inlineStr">
        <is>
          <t>000660</t>
        </is>
      </c>
      <c r="B4" s="16" t="inlineStr">
        <is>
          <t>SK하이닉스</t>
        </is>
      </c>
      <c r="C4" s="7" t="inlineStr">
        <is>
          <t>매수(88)</t>
        </is>
      </c>
      <c r="D4" s="10" t="inlineStr">
        <is>
          <t>중립(60)</t>
        </is>
      </c>
      <c r="E4" s="7" t="inlineStr">
        <is>
          <t>매수(70)</t>
        </is>
      </c>
      <c r="F4" s="16" t="inlineStr">
        <is>
          <t>매수</t>
        </is>
      </c>
      <c r="G4" s="16" t="n">
        <v>73</v>
      </c>
    </row>
    <row r="5" ht="18" customHeight="1">
      <c r="A5" s="16" t="inlineStr">
        <is>
          <t>082920</t>
        </is>
      </c>
      <c r="B5" s="16" t="inlineStr">
        <is>
          <t>비츠로셀</t>
        </is>
      </c>
      <c r="C5" s="7" t="inlineStr">
        <is>
          <t>매수(80)</t>
        </is>
      </c>
      <c r="D5" s="19" t="inlineStr">
        <is>
          <t>매도(64)</t>
        </is>
      </c>
      <c r="E5" s="7" t="inlineStr">
        <is>
          <t>매수(60)</t>
        </is>
      </c>
      <c r="F5" s="16" t="inlineStr">
        <is>
          <t>매수</t>
        </is>
      </c>
      <c r="G5" s="16" t="n">
        <v>68</v>
      </c>
    </row>
    <row r="6" ht="18" customHeight="1">
      <c r="A6" s="16" t="inlineStr">
        <is>
          <t>171090</t>
        </is>
      </c>
      <c r="B6" s="16" t="inlineStr">
        <is>
          <t>선익시스템</t>
        </is>
      </c>
      <c r="C6" s="10" t="inlineStr">
        <is>
          <t>중립(62)</t>
        </is>
      </c>
      <c r="D6" s="10" t="inlineStr">
        <is>
          <t>중립(60)</t>
        </is>
      </c>
      <c r="E6" s="10" t="inlineStr">
        <is>
          <t>중립(60)</t>
        </is>
      </c>
      <c r="F6" s="16" t="inlineStr">
        <is>
          <t>보유</t>
        </is>
      </c>
      <c r="G6" s="16" t="n">
        <v>61</v>
      </c>
    </row>
    <row r="7" ht="18" customHeight="1">
      <c r="A7" s="16" t="inlineStr">
        <is>
          <t>005930</t>
        </is>
      </c>
      <c r="B7" s="16" t="inlineStr">
        <is>
          <t>삼성전자</t>
        </is>
      </c>
      <c r="C7" s="10" t="inlineStr">
        <is>
          <t>중립(61)</t>
        </is>
      </c>
      <c r="D7" s="19" t="inlineStr">
        <is>
          <t>매도(72)</t>
        </is>
      </c>
      <c r="E7" s="10" t="inlineStr">
        <is>
          <t>중립(58)</t>
        </is>
      </c>
      <c r="F7" s="16" t="inlineStr">
        <is>
          <t>보유</t>
        </is>
      </c>
      <c r="G7" s="16" t="n">
        <v>64</v>
      </c>
    </row>
    <row r="8" ht="18" customHeight="1">
      <c r="A8" s="16" t="inlineStr">
        <is>
          <t>023160</t>
        </is>
      </c>
      <c r="B8" s="16" t="inlineStr">
        <is>
          <t>태광</t>
        </is>
      </c>
      <c r="C8" s="19" t="inlineStr">
        <is>
          <t>매도(61)</t>
        </is>
      </c>
      <c r="D8" s="19" t="inlineStr">
        <is>
          <t>매도(77)</t>
        </is>
      </c>
      <c r="E8" s="10" t="inlineStr">
        <is>
          <t>중립(55)</t>
        </is>
      </c>
      <c r="F8" s="16" t="inlineStr">
        <is>
          <t>매도</t>
        </is>
      </c>
      <c r="G8" s="16" t="n">
        <v>64</v>
      </c>
    </row>
    <row r="9" ht="18" customHeight="1">
      <c r="A9" s="16" t="inlineStr">
        <is>
          <t>101490</t>
        </is>
      </c>
      <c r="B9" s="16" t="inlineStr">
        <is>
          <t>에스앤에스텍</t>
        </is>
      </c>
      <c r="C9" s="7" t="inlineStr">
        <is>
          <t>매수(78)</t>
        </is>
      </c>
      <c r="D9" s="10" t="inlineStr">
        <is>
          <t>중립(60)</t>
        </is>
      </c>
      <c r="E9" s="7" t="inlineStr">
        <is>
          <t>매수(69)</t>
        </is>
      </c>
      <c r="F9" s="16" t="inlineStr">
        <is>
          <t>매수</t>
        </is>
      </c>
      <c r="G9" s="16" t="n">
        <v>69</v>
      </c>
    </row>
    <row r="10" ht="18" customHeight="1">
      <c r="A10" s="16" t="inlineStr">
        <is>
          <t>053610</t>
        </is>
      </c>
      <c r="B10" s="16" t="inlineStr">
        <is>
          <t>프로텍</t>
        </is>
      </c>
      <c r="C10" s="10" t="inlineStr">
        <is>
          <t>중립(55)</t>
        </is>
      </c>
      <c r="D10" s="19" t="inlineStr">
        <is>
          <t>매도(63)</t>
        </is>
      </c>
      <c r="E10" s="10" t="inlineStr">
        <is>
          <t>중립(57)</t>
        </is>
      </c>
      <c r="F10" s="16" t="inlineStr">
        <is>
          <t>보유</t>
        </is>
      </c>
      <c r="G10" s="16" t="n">
        <v>58</v>
      </c>
    </row>
    <row r="11" ht="18" customHeight="1">
      <c r="A11" s="16" t="inlineStr">
        <is>
          <t>278470</t>
        </is>
      </c>
      <c r="B11" s="16" t="inlineStr">
        <is>
          <t>에이피알</t>
        </is>
      </c>
      <c r="C11" s="10" t="inlineStr">
        <is>
          <t>중립(63)</t>
        </is>
      </c>
      <c r="D11" s="10" t="inlineStr">
        <is>
          <t>중립(60)</t>
        </is>
      </c>
      <c r="E11" s="7" t="inlineStr">
        <is>
          <t>매수(62)</t>
        </is>
      </c>
      <c r="F11" s="16" t="inlineStr">
        <is>
          <t>보유</t>
        </is>
      </c>
      <c r="G11" s="16" t="n">
        <v>62</v>
      </c>
    </row>
    <row r="12" ht="18" customHeight="1">
      <c r="A12" s="16" t="inlineStr">
        <is>
          <t>042700</t>
        </is>
      </c>
      <c r="B12" s="16" t="inlineStr">
        <is>
          <t>한미반도체</t>
        </is>
      </c>
      <c r="C12" s="7" t="inlineStr">
        <is>
          <t>매수(92)</t>
        </is>
      </c>
      <c r="D12" s="19" t="inlineStr">
        <is>
          <t>매도(75)</t>
        </is>
      </c>
      <c r="E12" s="10" t="inlineStr">
        <is>
          <t>중립(59)</t>
        </is>
      </c>
      <c r="F12" s="16" t="inlineStr">
        <is>
          <t>보유</t>
        </is>
      </c>
      <c r="G12" s="16" t="n">
        <v>75</v>
      </c>
    </row>
    <row r="13" ht="18" customHeight="1">
      <c r="A13" s="16" t="inlineStr">
        <is>
          <t>039030</t>
        </is>
      </c>
      <c r="B13" s="16" t="inlineStr">
        <is>
          <t>이오테크닉스</t>
        </is>
      </c>
      <c r="C13" s="10" t="inlineStr">
        <is>
          <t>중립(55)</t>
        </is>
      </c>
      <c r="D13" s="19" t="inlineStr">
        <is>
          <t>매도(74)</t>
        </is>
      </c>
      <c r="E13" s="10" t="inlineStr">
        <is>
          <t>중립(57)</t>
        </is>
      </c>
      <c r="F13" s="16" t="inlineStr">
        <is>
          <t>보유</t>
        </is>
      </c>
      <c r="G13" s="16" t="n">
        <v>62</v>
      </c>
    </row>
    <row r="14" ht="18" customHeight="1">
      <c r="A14" s="16" t="inlineStr">
        <is>
          <t>079550</t>
        </is>
      </c>
      <c r="B14" s="16" t="inlineStr">
        <is>
          <t>LIG디펜스앤에어로스페이스</t>
        </is>
      </c>
      <c r="C14" s="19" t="inlineStr">
        <is>
          <t>매도(60)</t>
        </is>
      </c>
      <c r="D14" s="10" t="inlineStr">
        <is>
          <t>중립(62)</t>
        </is>
      </c>
      <c r="E14" s="10" t="inlineStr">
        <is>
          <t>중립(61)</t>
        </is>
      </c>
      <c r="F14" s="16" t="inlineStr">
        <is>
          <t>보유</t>
        </is>
      </c>
      <c r="G14" s="16" t="n">
        <v>61</v>
      </c>
    </row>
    <row r="15" ht="18" customHeight="1">
      <c r="A15" s="16" t="inlineStr">
        <is>
          <t>017960</t>
        </is>
      </c>
      <c r="B15" s="16" t="inlineStr">
        <is>
          <t>한국카본</t>
        </is>
      </c>
      <c r="C15" s="10" t="inlineStr">
        <is>
          <t>중립(61)</t>
        </is>
      </c>
      <c r="D15" s="19" t="inlineStr">
        <is>
          <t>매도(64)</t>
        </is>
      </c>
      <c r="E15" s="10" t="inlineStr">
        <is>
          <t>중립(56)</t>
        </is>
      </c>
      <c r="F15" s="16" t="inlineStr">
        <is>
          <t>보유</t>
        </is>
      </c>
      <c r="G15" s="16" t="n">
        <v>60</v>
      </c>
    </row>
    <row r="16" ht="18" customHeight="1">
      <c r="A16" s="16" t="inlineStr">
        <is>
          <t>388210</t>
        </is>
      </c>
      <c r="B16" s="16" t="inlineStr">
        <is>
          <t>씨엠티엑스</t>
        </is>
      </c>
      <c r="C16" s="19" t="inlineStr">
        <is>
          <t>매도(62)</t>
        </is>
      </c>
      <c r="D16" s="19" t="inlineStr">
        <is>
          <t>매도(63)</t>
        </is>
      </c>
      <c r="E16" s="10" t="inlineStr">
        <is>
          <t>중립(63)</t>
        </is>
      </c>
      <c r="F16" s="16" t="inlineStr">
        <is>
          <t>매도</t>
        </is>
      </c>
      <c r="G16" s="16" t="n">
        <v>63</v>
      </c>
    </row>
    <row r="17" ht="18" customHeight="1">
      <c r="A17" s="16" t="inlineStr">
        <is>
          <t>031980</t>
        </is>
      </c>
      <c r="B17" s="16" t="inlineStr">
        <is>
          <t>피에스케이홀딩스</t>
        </is>
      </c>
      <c r="C17" s="7" t="inlineStr">
        <is>
          <t>매수(80)</t>
        </is>
      </c>
      <c r="D17" s="19" t="inlineStr">
        <is>
          <t>매도(81)</t>
        </is>
      </c>
      <c r="E17" s="10" t="inlineStr">
        <is>
          <t>중립(56)</t>
        </is>
      </c>
      <c r="F17" s="16" t="inlineStr">
        <is>
          <t>보유</t>
        </is>
      </c>
      <c r="G17" s="16" t="n">
        <v>72</v>
      </c>
    </row>
    <row r="18" ht="18" customHeight="1">
      <c r="A18" s="16" t="inlineStr">
        <is>
          <t>103590</t>
        </is>
      </c>
      <c r="B18" s="16" t="inlineStr">
        <is>
          <t>일진전기</t>
        </is>
      </c>
      <c r="C18" s="10" t="inlineStr">
        <is>
          <t>중립(61)</t>
        </is>
      </c>
      <c r="D18" s="10" t="inlineStr">
        <is>
          <t>중립(62)</t>
        </is>
      </c>
      <c r="E18" s="10" t="inlineStr">
        <is>
          <t>중립(61)</t>
        </is>
      </c>
      <c r="F18" s="16" t="inlineStr">
        <is>
          <t>보유</t>
        </is>
      </c>
      <c r="G18" s="16" t="n">
        <v>61</v>
      </c>
    </row>
    <row r="19" ht="18" customHeight="1">
      <c r="A19" s="16" t="inlineStr">
        <is>
          <t>443060</t>
        </is>
      </c>
      <c r="B19" s="16" t="inlineStr">
        <is>
          <t>HD현대마린솔루션</t>
        </is>
      </c>
      <c r="C19" s="7" t="inlineStr">
        <is>
          <t>매수(61)</t>
        </is>
      </c>
      <c r="D19" s="19" t="inlineStr">
        <is>
          <t>매도(67)</t>
        </is>
      </c>
      <c r="E19" s="10" t="inlineStr">
        <is>
          <t>중립(57)</t>
        </is>
      </c>
      <c r="F19" s="16" t="inlineStr">
        <is>
          <t>보유</t>
        </is>
      </c>
      <c r="G19" s="16" t="n">
        <v>62</v>
      </c>
    </row>
    <row r="20" ht="18" customHeight="1">
      <c r="A20" s="16" t="inlineStr">
        <is>
          <t>082740</t>
        </is>
      </c>
      <c r="B20" s="16" t="inlineStr">
        <is>
          <t>한화엔진</t>
        </is>
      </c>
      <c r="C20" s="10" t="inlineStr">
        <is>
          <t>중립(59)</t>
        </is>
      </c>
      <c r="D20" s="19" t="inlineStr">
        <is>
          <t>매도(72)</t>
        </is>
      </c>
      <c r="E20" s="10" t="inlineStr">
        <is>
          <t>중립(58)</t>
        </is>
      </c>
      <c r="F20" s="16" t="inlineStr">
        <is>
          <t>보유</t>
        </is>
      </c>
      <c r="G20" s="16" t="n">
        <v>63</v>
      </c>
    </row>
    <row r="21" ht="18" customHeight="1">
      <c r="A21" s="16" t="inlineStr">
        <is>
          <t>229640</t>
        </is>
      </c>
      <c r="B21" s="16" t="inlineStr">
        <is>
          <t>LS에코에너지</t>
        </is>
      </c>
      <c r="C21" s="10" t="inlineStr">
        <is>
          <t>중립(59)</t>
        </is>
      </c>
      <c r="D21" s="19" t="inlineStr">
        <is>
          <t>매도(72)</t>
        </is>
      </c>
      <c r="E21" s="10" t="inlineStr">
        <is>
          <t>중립(62)</t>
        </is>
      </c>
      <c r="F21" s="16" t="inlineStr">
        <is>
          <t>보유</t>
        </is>
      </c>
      <c r="G21" s="16" t="n">
        <v>64</v>
      </c>
    </row>
    <row r="22" ht="18" customHeight="1">
      <c r="A22" s="16" t="inlineStr">
        <is>
          <t>402340</t>
        </is>
      </c>
      <c r="B22" s="16" t="inlineStr">
        <is>
          <t>SK스퀘어</t>
        </is>
      </c>
      <c r="C22" s="7" t="inlineStr">
        <is>
          <t>매수(90)</t>
        </is>
      </c>
      <c r="D22" s="19" t="inlineStr">
        <is>
          <t>매도(90)</t>
        </is>
      </c>
      <c r="E22" s="10" t="inlineStr">
        <is>
          <t>중립(58)</t>
        </is>
      </c>
      <c r="F22" s="16" t="inlineStr">
        <is>
          <t>보유</t>
        </is>
      </c>
      <c r="G22" s="16" t="n">
        <v>79</v>
      </c>
    </row>
    <row r="23" ht="18" customHeight="1">
      <c r="A23" s="16" t="inlineStr">
        <is>
          <t>298040</t>
        </is>
      </c>
      <c r="B23" s="16" t="inlineStr">
        <is>
          <t>효성중공업</t>
        </is>
      </c>
      <c r="C23" s="10" t="inlineStr">
        <is>
          <t>중립(61)</t>
        </is>
      </c>
      <c r="D23" s="19" t="inlineStr">
        <is>
          <t>매도(64)</t>
        </is>
      </c>
      <c r="E23" s="10" t="inlineStr">
        <is>
          <t>중립(60)</t>
        </is>
      </c>
      <c r="F23" s="16" t="inlineStr">
        <is>
          <t>보유</t>
        </is>
      </c>
      <c r="G23" s="16" t="n">
        <v>62</v>
      </c>
    </row>
    <row r="24" ht="18" customHeight="1">
      <c r="A24" s="16" t="inlineStr">
        <is>
          <t>007660</t>
        </is>
      </c>
      <c r="B24" s="16" t="inlineStr">
        <is>
          <t>이수페타시스</t>
        </is>
      </c>
      <c r="C24" s="10" t="inlineStr">
        <is>
          <t>중립(59)</t>
        </is>
      </c>
      <c r="D24" s="10" t="inlineStr">
        <is>
          <t>중립(60)</t>
        </is>
      </c>
      <c r="E24" s="10" t="inlineStr">
        <is>
          <t>중립(60)</t>
        </is>
      </c>
      <c r="F24" s="16" t="inlineStr">
        <is>
          <t>보유</t>
        </is>
      </c>
      <c r="G24" s="16" t="n">
        <v>60</v>
      </c>
    </row>
    <row r="25" ht="18" customHeight="1">
      <c r="A25" s="16" t="inlineStr">
        <is>
          <t>403870</t>
        </is>
      </c>
      <c r="B25" s="16" t="inlineStr">
        <is>
          <t>HPSP</t>
        </is>
      </c>
      <c r="C25" s="7" t="inlineStr">
        <is>
          <t>매수(87)</t>
        </is>
      </c>
      <c r="D25" s="19" t="inlineStr">
        <is>
          <t>매도(81)</t>
        </is>
      </c>
      <c r="E25" s="10" t="inlineStr">
        <is>
          <t>중립(57)</t>
        </is>
      </c>
      <c r="F25" s="16" t="inlineStr">
        <is>
          <t>보유</t>
        </is>
      </c>
      <c r="G25" s="16" t="n">
        <v>75</v>
      </c>
    </row>
    <row r="26" ht="18" customHeight="1">
      <c r="A26" s="16" t="inlineStr">
        <is>
          <t>267260</t>
        </is>
      </c>
      <c r="B26" s="16" t="inlineStr">
        <is>
          <t>HD현대일렉트릭</t>
        </is>
      </c>
      <c r="C26" s="10" t="inlineStr">
        <is>
          <t>중립(62)</t>
        </is>
      </c>
      <c r="D26" s="19" t="inlineStr">
        <is>
          <t>매도(64)</t>
        </is>
      </c>
      <c r="E26" s="10" t="inlineStr">
        <is>
          <t>중립(58)</t>
        </is>
      </c>
      <c r="F26" s="16" t="inlineStr">
        <is>
          <t>보유</t>
        </is>
      </c>
      <c r="G26" s="16" t="n">
        <v>61</v>
      </c>
    </row>
    <row r="27" ht="18" customHeight="1">
      <c r="A27" s="16" t="inlineStr">
        <is>
          <t>071970</t>
        </is>
      </c>
      <c r="B27" s="16" t="inlineStr">
        <is>
          <t>HD현대마린엔진</t>
        </is>
      </c>
      <c r="C27" s="10" t="inlineStr">
        <is>
          <t>중립(61)</t>
        </is>
      </c>
      <c r="D27" s="10" t="inlineStr">
        <is>
          <t>중립(60)</t>
        </is>
      </c>
      <c r="E27" s="7" t="inlineStr">
        <is>
          <t>매수(66)</t>
        </is>
      </c>
      <c r="F27" s="16" t="inlineStr">
        <is>
          <t>보유</t>
        </is>
      </c>
      <c r="G27" s="16" t="n">
        <v>62</v>
      </c>
    </row>
    <row r="28" ht="18" customHeight="1">
      <c r="A28" s="16" t="inlineStr">
        <is>
          <t>014620</t>
        </is>
      </c>
      <c r="B28" s="16" t="inlineStr">
        <is>
          <t>성광벤드</t>
        </is>
      </c>
      <c r="C28" s="10" t="inlineStr">
        <is>
          <t>중립(55)</t>
        </is>
      </c>
      <c r="D28" s="19" t="inlineStr">
        <is>
          <t>매도(85)</t>
        </is>
      </c>
      <c r="E28" s="19" t="inlineStr">
        <is>
          <t>매도(63)</t>
        </is>
      </c>
      <c r="F28" s="16" t="inlineStr">
        <is>
          <t>매도</t>
        </is>
      </c>
      <c r="G28" s="16" t="n">
        <v>68</v>
      </c>
    </row>
    <row r="29" ht="18" customHeight="1">
      <c r="A29" s="16" t="inlineStr">
        <is>
          <t>033100</t>
        </is>
      </c>
      <c r="B29" s="16" t="inlineStr">
        <is>
          <t>제룡전기</t>
        </is>
      </c>
      <c r="C29" s="7" t="inlineStr">
        <is>
          <t>매수(87)</t>
        </is>
      </c>
      <c r="D29" s="19" t="inlineStr">
        <is>
          <t>매도(90)</t>
        </is>
      </c>
      <c r="E29" s="10" t="inlineStr">
        <is>
          <t>중립(57)</t>
        </is>
      </c>
      <c r="F29" s="16" t="inlineStr">
        <is>
          <t>보유</t>
        </is>
      </c>
      <c r="G29" s="16" t="n">
        <v>78</v>
      </c>
    </row>
    <row r="30" ht="18" customHeight="1">
      <c r="A30" s="16" t="inlineStr">
        <is>
          <t>213420</t>
        </is>
      </c>
      <c r="B30" s="16" t="inlineStr">
        <is>
          <t>덕산네오룩스</t>
        </is>
      </c>
      <c r="C30" s="10" t="inlineStr">
        <is>
          <t>중립(60)</t>
        </is>
      </c>
      <c r="D30" s="10" t="inlineStr">
        <is>
          <t>중립(62)</t>
        </is>
      </c>
      <c r="E30" s="10" t="inlineStr">
        <is>
          <t>중립(55)</t>
        </is>
      </c>
      <c r="F30" s="16" t="inlineStr">
        <is>
          <t>보유</t>
        </is>
      </c>
      <c r="G30" s="16" t="n">
        <v>59</v>
      </c>
    </row>
    <row r="31" ht="18" customHeight="1">
      <c r="A31" s="16" t="inlineStr">
        <is>
          <t>322000</t>
        </is>
      </c>
      <c r="B31" s="16" t="inlineStr">
        <is>
          <t>HD현대에너지솔루션</t>
        </is>
      </c>
      <c r="C31" s="19" t="inlineStr">
        <is>
          <t>매도(65)</t>
        </is>
      </c>
      <c r="D31" s="19" t="inlineStr">
        <is>
          <t>매도(74)</t>
        </is>
      </c>
      <c r="E31" s="19" t="inlineStr">
        <is>
          <t>매도(61)</t>
        </is>
      </c>
      <c r="F31" s="16" t="inlineStr">
        <is>
          <t>매도</t>
        </is>
      </c>
      <c r="G31" s="16" t="n">
        <v>67</v>
      </c>
    </row>
  </sheetData>
  <autoFilter ref="A1:G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8" customWidth="1" min="4" max="4"/>
    <col width="8" customWidth="1" min="5" max="5"/>
    <col width="90" customWidth="1" min="6" max="6"/>
  </cols>
  <sheetData>
    <row r="1" ht="22" customHeight="1">
      <c r="A1" s="6" t="inlineStr">
        <is>
          <t>종목코드</t>
        </is>
      </c>
      <c r="B1" s="6" t="inlineStr">
        <is>
          <t>회사명</t>
        </is>
      </c>
      <c r="C1" s="6" t="inlineStr">
        <is>
          <t>투자자</t>
        </is>
      </c>
      <c r="D1" s="6" t="inlineStr">
        <is>
          <t>신호</t>
        </is>
      </c>
      <c r="E1" s="6" t="inlineStr">
        <is>
          <t>신뢰도</t>
        </is>
      </c>
      <c r="F1" s="6" t="inlineStr">
        <is>
          <t>분석근거</t>
        </is>
      </c>
    </row>
    <row r="2" ht="18" customHeight="1">
      <c r="A2" s="16" t="inlineStr">
        <is>
          <t>062040</t>
        </is>
      </c>
      <c r="B2" s="16" t="inlineStr">
        <is>
          <t>산일전기</t>
        </is>
      </c>
      <c r="C2" s="16" t="inlineStr">
        <is>
          <t>Warren Buffett</t>
        </is>
      </c>
      <c r="D2" s="7" t="inlineStr">
        <is>
          <t>매수</t>
        </is>
      </c>
      <c r="E2" s="16" t="n">
        <v>92</v>
      </c>
      <c r="F2" s="20" t="inlineStr">
        <is>
          <t>ROE 25.4%와 품질 지표가 강해 경제적 해자 관점에서 우호적입니다. 다만 P/E가 N/A라 안전마진 확인은 제한됩니다.</t>
        </is>
      </c>
    </row>
    <row r="3" ht="18" customHeight="1">
      <c r="A3" s="16" t="inlineStr">
        <is>
          <t>062040</t>
        </is>
      </c>
      <c r="B3" s="16" t="inlineStr">
        <is>
          <t>산일전기</t>
        </is>
      </c>
      <c r="C3" s="16" t="inlineStr">
        <is>
          <t>Peter Lynch</t>
        </is>
      </c>
      <c r="D3" s="10" t="inlineStr">
        <is>
          <t>중립</t>
        </is>
      </c>
      <c r="E3" s="16" t="n">
        <v>60</v>
      </c>
      <c r="F3" s="20" t="inlineStr">
        <is>
          <t>성장 단서는 있으나 PEG와 밸류에이션 검증이 제한적입니다. 고성장 매출 (+50%); 뛰어난 ROE (25%).</t>
        </is>
      </c>
    </row>
    <row r="4" ht="18" customHeight="1">
      <c r="A4" s="16" t="inlineStr">
        <is>
          <t>062040</t>
        </is>
      </c>
      <c r="B4" s="16" t="inlineStr">
        <is>
          <t>산일전기</t>
        </is>
      </c>
      <c r="C4" s="16" t="inlineStr">
        <is>
          <t>Phil Fisher</t>
        </is>
      </c>
      <c r="D4" s="7" t="inlineStr">
        <is>
          <t>매수</t>
        </is>
      </c>
      <c r="E4" s="16" t="n">
        <v>82</v>
      </c>
      <c r="F4" s="20" t="inlineStr">
        <is>
          <t>성장 품질과 장기 경쟁력 신호가 양호합니다. 매출 성장 50.3%, 모멘텀 9.0점이 피셔 관점의 긍정 근거입니다.</t>
        </is>
      </c>
    </row>
    <row r="5" ht="18" customHeight="1">
      <c r="A5" s="16" t="inlineStr">
        <is>
          <t>483650</t>
        </is>
      </c>
      <c r="B5" s="16" t="inlineStr">
        <is>
          <t>달바글로벌</t>
        </is>
      </c>
      <c r="C5" s="16" t="inlineStr">
        <is>
          <t>Warren Buffett</t>
        </is>
      </c>
      <c r="D5" s="7" t="inlineStr">
        <is>
          <t>매수</t>
        </is>
      </c>
      <c r="E5" s="16" t="n">
        <v>87</v>
      </c>
      <c r="F5" s="20" t="inlineStr">
        <is>
          <t>ROE 39.8%와 품질 지표가 강해 경제적 해자 관점에서 우호적입니다. 다만 P/E가 N/A라 안전마진 확인은 제한됩니다.</t>
        </is>
      </c>
    </row>
    <row r="6" ht="18" customHeight="1">
      <c r="A6" s="16" t="inlineStr">
        <is>
          <t>483650</t>
        </is>
      </c>
      <c r="B6" s="16" t="inlineStr">
        <is>
          <t>달바글로벌</t>
        </is>
      </c>
      <c r="C6" s="16" t="inlineStr">
        <is>
          <t>Peter Lynch</t>
        </is>
      </c>
      <c r="D6" s="10" t="inlineStr">
        <is>
          <t>중립</t>
        </is>
      </c>
      <c r="E6" s="16" t="n">
        <v>60</v>
      </c>
      <c r="F6" s="20" t="inlineStr">
        <is>
          <t>성장 단서는 있으나 PEG와 밸류에이션 검증이 제한적입니다. 고성장 매출 (+68%); 뛰어난 ROE (40%).</t>
        </is>
      </c>
    </row>
    <row r="7" ht="18" customHeight="1">
      <c r="A7" s="16" t="inlineStr">
        <is>
          <t>483650</t>
        </is>
      </c>
      <c r="B7" s="16" t="inlineStr">
        <is>
          <t>달바글로벌</t>
        </is>
      </c>
      <c r="C7" s="16" t="inlineStr">
        <is>
          <t>Phil Fisher</t>
        </is>
      </c>
      <c r="D7" s="7" t="inlineStr">
        <is>
          <t>매수</t>
        </is>
      </c>
      <c r="E7" s="16" t="n">
        <v>74</v>
      </c>
      <c r="F7" s="20" t="inlineStr">
        <is>
          <t>성장 품질과 장기 경쟁력 신호가 양호합니다. 매출 성장 68.2%, 모멘텀 9.0점이 피셔 관점의 긍정 근거입니다.</t>
        </is>
      </c>
    </row>
    <row r="8" ht="18" customHeight="1">
      <c r="A8" s="16" t="inlineStr">
        <is>
          <t>000660</t>
        </is>
      </c>
      <c r="B8" s="16" t="inlineStr">
        <is>
          <t>SK하이닉스</t>
        </is>
      </c>
      <c r="C8" s="16" t="inlineStr">
        <is>
          <t>Warren Buffett</t>
        </is>
      </c>
      <c r="D8" s="7" t="inlineStr">
        <is>
          <t>매수</t>
        </is>
      </c>
      <c r="E8" s="16" t="n">
        <v>88</v>
      </c>
      <c r="F8" s="20" t="inlineStr">
        <is>
          <t>ROE 35.6%와 품질 지표가 강해 경제적 해자 관점에서 우호적입니다. 다만 P/E가 N/A라 안전마진 확인은 제한됩니다.</t>
        </is>
      </c>
    </row>
    <row r="9" ht="18" customHeight="1">
      <c r="A9" s="16" t="inlineStr">
        <is>
          <t>000660</t>
        </is>
      </c>
      <c r="B9" s="16" t="inlineStr">
        <is>
          <t>SK하이닉스</t>
        </is>
      </c>
      <c r="C9" s="16" t="inlineStr">
        <is>
          <t>Peter Lynch</t>
        </is>
      </c>
      <c r="D9" s="10" t="inlineStr">
        <is>
          <t>중립</t>
        </is>
      </c>
      <c r="E9" s="16" t="n">
        <v>60</v>
      </c>
      <c r="F9" s="20" t="inlineStr">
        <is>
          <t>성장 단서는 있으나 PEG와 밸류에이션 검증이 제한적입니다. 고성장 매출 (+47%); 뛰어난 ROE (36%).</t>
        </is>
      </c>
    </row>
    <row r="10" ht="18" customHeight="1">
      <c r="A10" s="16" t="inlineStr">
        <is>
          <t>000660</t>
        </is>
      </c>
      <c r="B10" s="16" t="inlineStr">
        <is>
          <t>SK하이닉스</t>
        </is>
      </c>
      <c r="C10" s="16" t="inlineStr">
        <is>
          <t>Phil Fisher</t>
        </is>
      </c>
      <c r="D10" s="7" t="inlineStr">
        <is>
          <t>매수</t>
        </is>
      </c>
      <c r="E10" s="16" t="n">
        <v>70</v>
      </c>
      <c r="F10" s="20" t="inlineStr">
        <is>
          <t>성장 품질과 장기 경쟁력 신호가 양호합니다. 매출 성장 46.8%, 모멘텀 9.0점이 피셔 관점의 긍정 근거입니다.</t>
        </is>
      </c>
    </row>
    <row r="11" ht="18" customHeight="1">
      <c r="A11" s="16" t="inlineStr">
        <is>
          <t>082920</t>
        </is>
      </c>
      <c r="B11" s="16" t="inlineStr">
        <is>
          <t>비츠로셀</t>
        </is>
      </c>
      <c r="C11" s="16" t="inlineStr">
        <is>
          <t>Warren Buffett</t>
        </is>
      </c>
      <c r="D11" s="7" t="inlineStr">
        <is>
          <t>매수</t>
        </is>
      </c>
      <c r="E11" s="16" t="n">
        <v>80</v>
      </c>
      <c r="F11" s="20" t="inlineStr">
        <is>
          <t>ROE 17.2%와 품질 지표가 강해 경제적 해자 관점에서 우호적입니다. 다만 P/E가 N/A라 안전마진 확인은 제한됩니다.</t>
        </is>
      </c>
    </row>
    <row r="12" ht="18" customHeight="1">
      <c r="A12" s="16" t="inlineStr">
        <is>
          <t>082920</t>
        </is>
      </c>
      <c r="B12" s="16" t="inlineStr">
        <is>
          <t>비츠로셀</t>
        </is>
      </c>
      <c r="C12" s="16" t="inlineStr">
        <is>
          <t>Peter Lynch</t>
        </is>
      </c>
      <c r="D12" s="19" t="inlineStr">
        <is>
          <t>매도</t>
        </is>
      </c>
      <c r="E12" s="16" t="n">
        <v>64</v>
      </c>
      <c r="F12" s="20" t="inlineStr">
        <is>
          <t>PEG·밸류에이션 확인이 부족하고 린치식 10배주 조건을 충족하지 못했습니다. 성장률 15.3%만으로는 과반 매수 근거가 약합니다.</t>
        </is>
      </c>
    </row>
    <row r="13" ht="18" customHeight="1">
      <c r="A13" s="16" t="inlineStr">
        <is>
          <t>082920</t>
        </is>
      </c>
      <c r="B13" s="16" t="inlineStr">
        <is>
          <t>비츠로셀</t>
        </is>
      </c>
      <c r="C13" s="16" t="inlineStr">
        <is>
          <t>Phil Fisher</t>
        </is>
      </c>
      <c r="D13" s="7" t="inlineStr">
        <is>
          <t>매수</t>
        </is>
      </c>
      <c r="E13" s="16" t="n">
        <v>60</v>
      </c>
      <c r="F13" s="20" t="inlineStr">
        <is>
          <t>성장 품질과 장기 경쟁력 신호가 양호합니다. 매출 성장 15.3%, 모멘텀 10.0점이 피셔 관점의 긍정 근거입니다.</t>
        </is>
      </c>
    </row>
    <row r="14" ht="18" customHeight="1">
      <c r="A14" s="16" t="inlineStr">
        <is>
          <t>171090</t>
        </is>
      </c>
      <c r="B14" s="16" t="inlineStr">
        <is>
          <t>선익시스템</t>
        </is>
      </c>
      <c r="C14" s="16" t="inlineStr">
        <is>
          <t>Warren Buffett</t>
        </is>
      </c>
      <c r="D14" s="10" t="inlineStr">
        <is>
          <t>중립</t>
        </is>
      </c>
      <c r="E14" s="16" t="n">
        <v>62</v>
      </c>
      <c r="F14" s="20" t="inlineStr">
        <is>
          <t>일부 품질 요인은 확인되지만 버핏식 확신에는 부족합니다. 고성장 매출 (+357%); 뛰어난 ROE (67%).</t>
        </is>
      </c>
    </row>
    <row r="15" ht="18" customHeight="1">
      <c r="A15" s="16" t="inlineStr">
        <is>
          <t>171090</t>
        </is>
      </c>
      <c r="B15" s="16" t="inlineStr">
        <is>
          <t>선익시스템</t>
        </is>
      </c>
      <c r="C15" s="16" t="inlineStr">
        <is>
          <t>Peter Lynch</t>
        </is>
      </c>
      <c r="D15" s="10" t="inlineStr">
        <is>
          <t>중립</t>
        </is>
      </c>
      <c r="E15" s="16" t="n">
        <v>60</v>
      </c>
      <c r="F15" s="20" t="inlineStr">
        <is>
          <t>성장 단서는 있으나 PEG와 밸류에이션 검증이 제한적입니다. 고성장 매출 (+357%); 뛰어난 ROE (67%).</t>
        </is>
      </c>
    </row>
    <row r="16" ht="18" customHeight="1">
      <c r="A16" s="16" t="inlineStr">
        <is>
          <t>171090</t>
        </is>
      </c>
      <c r="B16" s="16" t="inlineStr">
        <is>
          <t>선익시스템</t>
        </is>
      </c>
      <c r="C16" s="16" t="inlineStr">
        <is>
          <t>Phil Fisher</t>
        </is>
      </c>
      <c r="D16" s="10" t="inlineStr">
        <is>
          <t>중립</t>
        </is>
      </c>
      <c r="E16" s="16" t="n">
        <v>60</v>
      </c>
      <c r="F16" s="20" t="inlineStr">
        <is>
          <t>성장성은 일부 확인되지만 피셔식 장기 확신에는 추가 검증이 필요합니다. 고성장 매출 (+357%); 뛰어난 ROE (67%).</t>
        </is>
      </c>
    </row>
    <row r="17" ht="18" customHeight="1">
      <c r="A17" s="16" t="inlineStr">
        <is>
          <t>005930</t>
        </is>
      </c>
      <c r="B17" s="16" t="inlineStr">
        <is>
          <t>삼성전자</t>
        </is>
      </c>
      <c r="C17" s="16" t="inlineStr">
        <is>
          <t>Warren Buffett</t>
        </is>
      </c>
      <c r="D17" s="10" t="inlineStr">
        <is>
          <t>중립</t>
        </is>
      </c>
      <c r="E17" s="16" t="n">
        <v>61</v>
      </c>
      <c r="F17" s="20" t="inlineStr">
        <is>
          <t>일부 품질 요인은 확인되지만 버핏식 확신에는 부족합니다. 강한 1M 모멘텀 (+19%); 강한 3M 모멘텀 (+40%).</t>
        </is>
      </c>
    </row>
    <row r="18" ht="18" customHeight="1">
      <c r="A18" s="16" t="inlineStr">
        <is>
          <t>005930</t>
        </is>
      </c>
      <c r="B18" s="16" t="inlineStr">
        <is>
          <t>삼성전자</t>
        </is>
      </c>
      <c r="C18" s="16" t="inlineStr">
        <is>
          <t>Peter Lynch</t>
        </is>
      </c>
      <c r="D18" s="19" t="inlineStr">
        <is>
          <t>매도</t>
        </is>
      </c>
      <c r="E18" s="16" t="n">
        <v>72</v>
      </c>
      <c r="F18" s="20" t="inlineStr">
        <is>
          <t>PEG·밸류에이션 확인이 부족하고 린치식 10배주 조건을 충족하지 못했습니다. 성장률 10.9%만으로는 과반 매수 근거가 약합니다.</t>
        </is>
      </c>
    </row>
    <row r="19" ht="18" customHeight="1">
      <c r="A19" s="16" t="inlineStr">
        <is>
          <t>005930</t>
        </is>
      </c>
      <c r="B19" s="16" t="inlineStr">
        <is>
          <t>삼성전자</t>
        </is>
      </c>
      <c r="C19" s="16" t="inlineStr">
        <is>
          <t>Phil Fisher</t>
        </is>
      </c>
      <c r="D19" s="10" t="inlineStr">
        <is>
          <t>중립</t>
        </is>
      </c>
      <c r="E19" s="16" t="n">
        <v>58</v>
      </c>
      <c r="F19" s="20" t="inlineStr">
        <is>
          <t>성장성은 일부 확인되지만 피셔식 장기 확신에는 추가 검증이 필요합니다. 강한 1M 모멘텀 (+19%); 강한 3M 모멘텀 (+40%).</t>
        </is>
      </c>
    </row>
    <row r="20" ht="18" customHeight="1">
      <c r="A20" s="16" t="inlineStr">
        <is>
          <t>023160</t>
        </is>
      </c>
      <c r="B20" s="16" t="inlineStr">
        <is>
          <t>태광</t>
        </is>
      </c>
      <c r="C20" s="16" t="inlineStr">
        <is>
          <t>Warren Buffett</t>
        </is>
      </c>
      <c r="D20" s="19" t="inlineStr">
        <is>
          <t>매도</t>
        </is>
      </c>
      <c r="E20" s="16" t="n">
        <v>61</v>
      </c>
      <c r="F20" s="20" t="inlineStr">
        <is>
          <t>장기 보유 관점의 품질·예측가능성 점수가 낮습니다. 강한 1M 모멘텀 (+28%); 강한 3M 모멘텀 (+61%)에도 불구하고 안전마진 근거가 부족합니다.</t>
        </is>
      </c>
    </row>
    <row r="21" ht="18" customHeight="1">
      <c r="A21" s="16" t="inlineStr">
        <is>
          <t>023160</t>
        </is>
      </c>
      <c r="B21" s="16" t="inlineStr">
        <is>
          <t>태광</t>
        </is>
      </c>
      <c r="C21" s="16" t="inlineStr">
        <is>
          <t>Peter Lynch</t>
        </is>
      </c>
      <c r="D21" s="19" t="inlineStr">
        <is>
          <t>매도</t>
        </is>
      </c>
      <c r="E21" s="16" t="n">
        <v>77</v>
      </c>
      <c r="F21" s="20" t="inlineStr">
        <is>
          <t>PEG·밸류에이션 확인이 부족하고 린치식 10배주 조건을 충족하지 못했습니다. 성장률 11.3%만으로는 과반 매수 근거가 약합니다.</t>
        </is>
      </c>
    </row>
    <row r="22" ht="18" customHeight="1">
      <c r="A22" s="16" t="inlineStr">
        <is>
          <t>023160</t>
        </is>
      </c>
      <c r="B22" s="16" t="inlineStr">
        <is>
          <t>태광</t>
        </is>
      </c>
      <c r="C22" s="16" t="inlineStr">
        <is>
          <t>Phil Fisher</t>
        </is>
      </c>
      <c r="D22" s="10" t="inlineStr">
        <is>
          <t>중립</t>
        </is>
      </c>
      <c r="E22" s="16" t="n">
        <v>55</v>
      </c>
      <c r="F22" s="20" t="inlineStr">
        <is>
          <t>성장성은 일부 확인되지만 피셔식 장기 확신에는 추가 검증이 필요합니다. 강한 1M 모멘텀 (+28%); 강한 3M 모멘텀 (+61%).</t>
        </is>
      </c>
    </row>
    <row r="23" ht="18" customHeight="1">
      <c r="A23" s="16" t="inlineStr">
        <is>
          <t>101490</t>
        </is>
      </c>
      <c r="B23" s="16" t="inlineStr">
        <is>
          <t>에스앤에스텍</t>
        </is>
      </c>
      <c r="C23" s="16" t="inlineStr">
        <is>
          <t>Warren Buffett</t>
        </is>
      </c>
      <c r="D23" s="7" t="inlineStr">
        <is>
          <t>매수</t>
        </is>
      </c>
      <c r="E23" s="16" t="n">
        <v>78</v>
      </c>
      <c r="F23" s="20" t="inlineStr">
        <is>
          <t>ROE 19.1%와 품질 지표가 강해 경제적 해자 관점에서 우호적입니다. 다만 P/E가 N/A라 안전마진 확인은 제한됩니다.</t>
        </is>
      </c>
    </row>
    <row r="24" ht="18" customHeight="1">
      <c r="A24" s="16" t="inlineStr">
        <is>
          <t>101490</t>
        </is>
      </c>
      <c r="B24" s="16" t="inlineStr">
        <is>
          <t>에스앤에스텍</t>
        </is>
      </c>
      <c r="C24" s="16" t="inlineStr">
        <is>
          <t>Peter Lynch</t>
        </is>
      </c>
      <c r="D24" s="10" t="inlineStr">
        <is>
          <t>중립</t>
        </is>
      </c>
      <c r="E24" s="16" t="n">
        <v>60</v>
      </c>
      <c r="F24" s="20" t="inlineStr">
        <is>
          <t>성장 단서는 있으나 PEG와 밸류에이션 검증이 제한적입니다. 고성장 매출 (+38%); 양호한 ROE (19%).</t>
        </is>
      </c>
    </row>
    <row r="25" ht="18" customHeight="1">
      <c r="A25" s="16" t="inlineStr">
        <is>
          <t>101490</t>
        </is>
      </c>
      <c r="B25" s="16" t="inlineStr">
        <is>
          <t>에스앤에스텍</t>
        </is>
      </c>
      <c r="C25" s="16" t="inlineStr">
        <is>
          <t>Phil Fisher</t>
        </is>
      </c>
      <c r="D25" s="7" t="inlineStr">
        <is>
          <t>매수</t>
        </is>
      </c>
      <c r="E25" s="16" t="n">
        <v>69</v>
      </c>
      <c r="F25" s="20" t="inlineStr">
        <is>
          <t>성장 품질과 장기 경쟁력 신호가 양호합니다. 매출 성장 38.5%, 모멘텀 9.0점이 피셔 관점의 긍정 근거입니다.</t>
        </is>
      </c>
    </row>
    <row r="26" ht="18" customHeight="1">
      <c r="A26" s="16" t="inlineStr">
        <is>
          <t>053610</t>
        </is>
      </c>
      <c r="B26" s="16" t="inlineStr">
        <is>
          <t>프로텍</t>
        </is>
      </c>
      <c r="C26" s="16" t="inlineStr">
        <is>
          <t>Warren Buffett</t>
        </is>
      </c>
      <c r="D26" s="10" t="inlineStr">
        <is>
          <t>중립</t>
        </is>
      </c>
      <c r="E26" s="16" t="n">
        <v>55</v>
      </c>
      <c r="F26" s="20" t="inlineStr">
        <is>
          <t>일부 품질 요인은 확인되지만 버핏식 확신에는 부족합니다. 고성장 매출 (+35%); 강한 1M 모멘텀 (+39%).</t>
        </is>
      </c>
    </row>
    <row r="27" ht="18" customHeight="1">
      <c r="A27" s="16" t="inlineStr">
        <is>
          <t>053610</t>
        </is>
      </c>
      <c r="B27" s="16" t="inlineStr">
        <is>
          <t>프로텍</t>
        </is>
      </c>
      <c r="C27" s="16" t="inlineStr">
        <is>
          <t>Peter Lynch</t>
        </is>
      </c>
      <c r="D27" s="19" t="inlineStr">
        <is>
          <t>매도</t>
        </is>
      </c>
      <c r="E27" s="16" t="n">
        <v>63</v>
      </c>
      <c r="F27" s="20" t="inlineStr">
        <is>
          <t>PEG·밸류에이션 확인이 부족하고 린치식 10배주 조건을 충족하지 못했습니다. 성장률 35.4%만으로는 과반 매수 근거가 약합니다.</t>
        </is>
      </c>
    </row>
    <row r="28" ht="18" customHeight="1">
      <c r="A28" s="16" t="inlineStr">
        <is>
          <t>053610</t>
        </is>
      </c>
      <c r="B28" s="16" t="inlineStr">
        <is>
          <t>프로텍</t>
        </is>
      </c>
      <c r="C28" s="16" t="inlineStr">
        <is>
          <t>Phil Fisher</t>
        </is>
      </c>
      <c r="D28" s="10" t="inlineStr">
        <is>
          <t>중립</t>
        </is>
      </c>
      <c r="E28" s="16" t="n">
        <v>57</v>
      </c>
      <c r="F28" s="20" t="inlineStr">
        <is>
          <t>성장성은 일부 확인되지만 피셔식 장기 확신에는 추가 검증이 필요합니다. 고성장 매출 (+35%); 강한 1M 모멘텀 (+39%).</t>
        </is>
      </c>
    </row>
    <row r="29" ht="18" customHeight="1">
      <c r="A29" s="16" t="inlineStr">
        <is>
          <t>278470</t>
        </is>
      </c>
      <c r="B29" s="16" t="inlineStr">
        <is>
          <t>에이피알</t>
        </is>
      </c>
      <c r="C29" s="16" t="inlineStr">
        <is>
          <t>Warren Buffett</t>
        </is>
      </c>
      <c r="D29" s="10" t="inlineStr">
        <is>
          <t>중립</t>
        </is>
      </c>
      <c r="E29" s="16" t="n">
        <v>63</v>
      </c>
      <c r="F29" s="20" t="inlineStr">
        <is>
          <t>일부 품질 요인은 확인되지만 버핏식 확신에는 부족합니다. 고성장 매출 (+111%); 뛰어난 ROE (65%).</t>
        </is>
      </c>
    </row>
    <row r="30" ht="18" customHeight="1">
      <c r="A30" s="16" t="inlineStr">
        <is>
          <t>278470</t>
        </is>
      </c>
      <c r="B30" s="16" t="inlineStr">
        <is>
          <t>에이피알</t>
        </is>
      </c>
      <c r="C30" s="16" t="inlineStr">
        <is>
          <t>Peter Lynch</t>
        </is>
      </c>
      <c r="D30" s="10" t="inlineStr">
        <is>
          <t>중립</t>
        </is>
      </c>
      <c r="E30" s="16" t="n">
        <v>60</v>
      </c>
      <c r="F30" s="20" t="inlineStr">
        <is>
          <t>성장 단서는 있으나 PEG와 밸류에이션 검증이 제한적입니다. 고성장 매출 (+111%); 뛰어난 ROE (65%).</t>
        </is>
      </c>
    </row>
    <row r="31" ht="18" customHeight="1">
      <c r="A31" s="16" t="inlineStr">
        <is>
          <t>278470</t>
        </is>
      </c>
      <c r="B31" s="16" t="inlineStr">
        <is>
          <t>에이피알</t>
        </is>
      </c>
      <c r="C31" s="16" t="inlineStr">
        <is>
          <t>Phil Fisher</t>
        </is>
      </c>
      <c r="D31" s="7" t="inlineStr">
        <is>
          <t>매수</t>
        </is>
      </c>
      <c r="E31" s="16" t="n">
        <v>62</v>
      </c>
      <c r="F31" s="20" t="inlineStr">
        <is>
          <t>성장 품질과 장기 경쟁력 신호가 양호합니다. 매출 성장 111.3%, 모멘텀 9.0점이 피셔 관점의 긍정 근거입니다.</t>
        </is>
      </c>
    </row>
    <row r="32" ht="18" customHeight="1">
      <c r="A32" s="16" t="inlineStr">
        <is>
          <t>042700</t>
        </is>
      </c>
      <c r="B32" s="16" t="inlineStr">
        <is>
          <t>한미반도체</t>
        </is>
      </c>
      <c r="C32" s="16" t="inlineStr">
        <is>
          <t>Warren Buffett</t>
        </is>
      </c>
      <c r="D32" s="7" t="inlineStr">
        <is>
          <t>매수</t>
        </is>
      </c>
      <c r="E32" s="16" t="n">
        <v>92</v>
      </c>
      <c r="F32" s="20" t="inlineStr">
        <is>
          <t>ROE 31.0%와 품질 지표가 강해 경제적 해자 관점에서 우호적입니다. 다만 P/E가 N/A라 안전마진 확인은 제한됩니다.</t>
        </is>
      </c>
    </row>
    <row r="33" ht="18" customHeight="1">
      <c r="A33" s="16" t="inlineStr">
        <is>
          <t>042700</t>
        </is>
      </c>
      <c r="B33" s="16" t="inlineStr">
        <is>
          <t>한미반도체</t>
        </is>
      </c>
      <c r="C33" s="16" t="inlineStr">
        <is>
          <t>Peter Lynch</t>
        </is>
      </c>
      <c r="D33" s="19" t="inlineStr">
        <is>
          <t>매도</t>
        </is>
      </c>
      <c r="E33" s="16" t="n">
        <v>75</v>
      </c>
      <c r="F33" s="20" t="inlineStr">
        <is>
          <t>PEG·밸류에이션 확인이 부족하고 린치식 10배주 조건을 충족하지 못했습니다. 성장률 3.2%만으로는 과반 매수 근거가 약합니다.</t>
        </is>
      </c>
    </row>
    <row r="34" ht="18" customHeight="1">
      <c r="A34" s="16" t="inlineStr">
        <is>
          <t>042700</t>
        </is>
      </c>
      <c r="B34" s="16" t="inlineStr">
        <is>
          <t>한미반도체</t>
        </is>
      </c>
      <c r="C34" s="16" t="inlineStr">
        <is>
          <t>Phil Fisher</t>
        </is>
      </c>
      <c r="D34" s="10" t="inlineStr">
        <is>
          <t>중립</t>
        </is>
      </c>
      <c r="E34" s="16" t="n">
        <v>59</v>
      </c>
      <c r="F34" s="20" t="inlineStr">
        <is>
          <t>성장성은 일부 확인되지만 피셔식 장기 확신에는 추가 검증이 필요합니다. 뛰어난 ROE (31%); 높은 ROIC (28%).</t>
        </is>
      </c>
    </row>
    <row r="35" ht="18" customHeight="1">
      <c r="A35" s="16" t="inlineStr">
        <is>
          <t>039030</t>
        </is>
      </c>
      <c r="B35" s="16" t="inlineStr">
        <is>
          <t>이오테크닉스</t>
        </is>
      </c>
      <c r="C35" s="16" t="inlineStr">
        <is>
          <t>Warren Buffett</t>
        </is>
      </c>
      <c r="D35" s="10" t="inlineStr">
        <is>
          <t>중립</t>
        </is>
      </c>
      <c r="E35" s="16" t="n">
        <v>55</v>
      </c>
      <c r="F35" s="20" t="inlineStr">
        <is>
          <t>일부 품질 요인은 확인되지만 버핏식 확신에는 부족합니다. 양호한 매출 성장 (+19%); 강한 1M 모멘텀 (+17%).</t>
        </is>
      </c>
    </row>
    <row r="36" ht="18" customHeight="1">
      <c r="A36" s="16" t="inlineStr">
        <is>
          <t>039030</t>
        </is>
      </c>
      <c r="B36" s="16" t="inlineStr">
        <is>
          <t>이오테크닉스</t>
        </is>
      </c>
      <c r="C36" s="16" t="inlineStr">
        <is>
          <t>Peter Lynch</t>
        </is>
      </c>
      <c r="D36" s="19" t="inlineStr">
        <is>
          <t>매도</t>
        </is>
      </c>
      <c r="E36" s="16" t="n">
        <v>74</v>
      </c>
      <c r="F36" s="20" t="inlineStr">
        <is>
          <t>PEG·밸류에이션 확인이 부족하고 린치식 10배주 조건을 충족하지 못했습니다. 성장률 18.7%만으로는 과반 매수 근거가 약합니다.</t>
        </is>
      </c>
    </row>
    <row r="37" ht="18" customHeight="1">
      <c r="A37" s="16" t="inlineStr">
        <is>
          <t>039030</t>
        </is>
      </c>
      <c r="B37" s="16" t="inlineStr">
        <is>
          <t>이오테크닉스</t>
        </is>
      </c>
      <c r="C37" s="16" t="inlineStr">
        <is>
          <t>Phil Fisher</t>
        </is>
      </c>
      <c r="D37" s="10" t="inlineStr">
        <is>
          <t>중립</t>
        </is>
      </c>
      <c r="E37" s="16" t="n">
        <v>57</v>
      </c>
      <c r="F37" s="20" t="inlineStr">
        <is>
          <t>성장성은 일부 확인되지만 피셔식 장기 확신에는 추가 검증이 필요합니다. 양호한 매출 성장 (+19%); 강한 1M 모멘텀 (+17%).</t>
        </is>
      </c>
    </row>
    <row r="38" ht="18" customHeight="1">
      <c r="A38" s="16" t="inlineStr">
        <is>
          <t>079550</t>
        </is>
      </c>
      <c r="B38" s="16" t="inlineStr">
        <is>
          <t>LIG디펜스앤에어로스페이스</t>
        </is>
      </c>
      <c r="C38" s="16" t="inlineStr">
        <is>
          <t>Warren Buffett</t>
        </is>
      </c>
      <c r="D38" s="19" t="inlineStr">
        <is>
          <t>매도</t>
        </is>
      </c>
      <c r="E38" s="16" t="n">
        <v>60</v>
      </c>
      <c r="F38" s="20" t="inlineStr">
        <is>
          <t>장기 보유 관점의 품질·예측가능성 점수가 낮습니다. 고성장 매출 (+31%); 강한 1M 모멘텀 (+17%)에도 불구하고 안전마진 근거가 부족합니다.</t>
        </is>
      </c>
    </row>
    <row r="39" ht="18" customHeight="1">
      <c r="A39" s="16" t="inlineStr">
        <is>
          <t>079550</t>
        </is>
      </c>
      <c r="B39" s="16" t="inlineStr">
        <is>
          <t>LIG디펜스앤에어로스페이스</t>
        </is>
      </c>
      <c r="C39" s="16" t="inlineStr">
        <is>
          <t>Peter Lynch</t>
        </is>
      </c>
      <c r="D39" s="10" t="inlineStr">
        <is>
          <t>중립</t>
        </is>
      </c>
      <c r="E39" s="16" t="n">
        <v>62</v>
      </c>
      <c r="F39" s="20" t="inlineStr">
        <is>
          <t>성장 단서는 있으나 PEG와 밸류에이션 검증이 제한적입니다. 고성장 매출 (+31%); 강한 1M 모멘텀 (+17%).</t>
        </is>
      </c>
    </row>
    <row r="40" ht="18" customHeight="1">
      <c r="A40" s="16" t="inlineStr">
        <is>
          <t>079550</t>
        </is>
      </c>
      <c r="B40" s="16" t="inlineStr">
        <is>
          <t>LIG디펜스앤에어로스페이스</t>
        </is>
      </c>
      <c r="C40" s="16" t="inlineStr">
        <is>
          <t>Phil Fisher</t>
        </is>
      </c>
      <c r="D40" s="10" t="inlineStr">
        <is>
          <t>중립</t>
        </is>
      </c>
      <c r="E40" s="16" t="n">
        <v>61</v>
      </c>
      <c r="F40" s="20" t="inlineStr">
        <is>
          <t>성장성은 일부 확인되지만 피셔식 장기 확신에는 추가 검증이 필요합니다. 고성장 매출 (+31%); 강한 1M 모멘텀 (+17%).</t>
        </is>
      </c>
    </row>
    <row r="41" ht="18" customHeight="1">
      <c r="A41" s="16" t="inlineStr">
        <is>
          <t>017960</t>
        </is>
      </c>
      <c r="B41" s="16" t="inlineStr">
        <is>
          <t>한국카본</t>
        </is>
      </c>
      <c r="C41" s="16" t="inlineStr">
        <is>
          <t>Warren Buffett</t>
        </is>
      </c>
      <c r="D41" s="10" t="inlineStr">
        <is>
          <t>중립</t>
        </is>
      </c>
      <c r="E41" s="16" t="n">
        <v>61</v>
      </c>
      <c r="F41" s="20" t="inlineStr">
        <is>
          <t>일부 품질 요인은 확인되지만 버핏식 확신에는 부족합니다. 양호한 매출 성장 (+23%); 강한 1M 모멘텀 (+25%).</t>
        </is>
      </c>
    </row>
    <row r="42" ht="18" customHeight="1">
      <c r="A42" s="16" t="inlineStr">
        <is>
          <t>017960</t>
        </is>
      </c>
      <c r="B42" s="16" t="inlineStr">
        <is>
          <t>한국카본</t>
        </is>
      </c>
      <c r="C42" s="16" t="inlineStr">
        <is>
          <t>Peter Lynch</t>
        </is>
      </c>
      <c r="D42" s="19" t="inlineStr">
        <is>
          <t>매도</t>
        </is>
      </c>
      <c r="E42" s="16" t="n">
        <v>64</v>
      </c>
      <c r="F42" s="20" t="inlineStr">
        <is>
          <t>PEG·밸류에이션 확인이 부족하고 린치식 10배주 조건을 충족하지 못했습니다. 성장률 22.5%만으로는 과반 매수 근거가 약합니다.</t>
        </is>
      </c>
    </row>
    <row r="43" ht="18" customHeight="1">
      <c r="A43" s="16" t="inlineStr">
        <is>
          <t>017960</t>
        </is>
      </c>
      <c r="B43" s="16" t="inlineStr">
        <is>
          <t>한국카본</t>
        </is>
      </c>
      <c r="C43" s="16" t="inlineStr">
        <is>
          <t>Phil Fisher</t>
        </is>
      </c>
      <c r="D43" s="10" t="inlineStr">
        <is>
          <t>중립</t>
        </is>
      </c>
      <c r="E43" s="16" t="n">
        <v>56</v>
      </c>
      <c r="F43" s="20" t="inlineStr">
        <is>
          <t>성장성은 일부 확인되지만 피셔식 장기 확신에는 추가 검증이 필요합니다. 양호한 매출 성장 (+23%); 강한 1M 모멘텀 (+25%).</t>
        </is>
      </c>
    </row>
    <row r="44" ht="18" customHeight="1">
      <c r="A44" s="16" t="inlineStr">
        <is>
          <t>388210</t>
        </is>
      </c>
      <c r="B44" s="16" t="inlineStr">
        <is>
          <t>씨엠티엑스</t>
        </is>
      </c>
      <c r="C44" s="16" t="inlineStr">
        <is>
          <t>Warren Buffett</t>
        </is>
      </c>
      <c r="D44" s="19" t="inlineStr">
        <is>
          <t>매도</t>
        </is>
      </c>
      <c r="E44" s="16" t="n">
        <v>62</v>
      </c>
      <c r="F44" s="20" t="inlineStr">
        <is>
          <t>장기 보유 관점의 품질·예측가능성 점수가 낮습니다. 고성장 매출 (+48%); 높은 ROIC (21%)에도 불구하고 안전마진 근거가 부족합니다.</t>
        </is>
      </c>
    </row>
    <row r="45" ht="18" customHeight="1">
      <c r="A45" s="16" t="inlineStr">
        <is>
          <t>388210</t>
        </is>
      </c>
      <c r="B45" s="16" t="inlineStr">
        <is>
          <t>씨엠티엑스</t>
        </is>
      </c>
      <c r="C45" s="16" t="inlineStr">
        <is>
          <t>Peter Lynch</t>
        </is>
      </c>
      <c r="D45" s="19" t="inlineStr">
        <is>
          <t>매도</t>
        </is>
      </c>
      <c r="E45" s="16" t="n">
        <v>63</v>
      </c>
      <c r="F45" s="20" t="inlineStr">
        <is>
          <t>PEG·밸류에이션 확인이 부족하고 린치식 10배주 조건을 충족하지 못했습니다. 성장률 47.8%만으로는 과반 매수 근거가 약합니다.</t>
        </is>
      </c>
    </row>
    <row r="46" ht="18" customHeight="1">
      <c r="A46" s="16" t="inlineStr">
        <is>
          <t>388210</t>
        </is>
      </c>
      <c r="B46" s="16" t="inlineStr">
        <is>
          <t>씨엠티엑스</t>
        </is>
      </c>
      <c r="C46" s="16" t="inlineStr">
        <is>
          <t>Phil Fisher</t>
        </is>
      </c>
      <c r="D46" s="10" t="inlineStr">
        <is>
          <t>중립</t>
        </is>
      </c>
      <c r="E46" s="16" t="n">
        <v>63</v>
      </c>
      <c r="F46" s="20" t="inlineStr">
        <is>
          <t>성장성은 일부 확인되지만 피셔식 장기 확신에는 추가 검증이 필요합니다. 고성장 매출 (+48%); 높은 ROIC (21%).</t>
        </is>
      </c>
    </row>
    <row r="47" ht="18" customHeight="1">
      <c r="A47" s="16" t="inlineStr">
        <is>
          <t>031980</t>
        </is>
      </c>
      <c r="B47" s="16" t="inlineStr">
        <is>
          <t>피에스케이홀딩스</t>
        </is>
      </c>
      <c r="C47" s="16" t="inlineStr">
        <is>
          <t>Warren Buffett</t>
        </is>
      </c>
      <c r="D47" s="7" t="inlineStr">
        <is>
          <t>매수</t>
        </is>
      </c>
      <c r="E47" s="16" t="n">
        <v>80</v>
      </c>
      <c r="F47" s="20" t="inlineStr">
        <is>
          <t>ROE 18.1%와 품질 지표가 강해 경제적 해자 관점에서 우호적입니다. 다만 P/E가 N/A라 안전마진 확인은 제한됩니다.</t>
        </is>
      </c>
    </row>
    <row r="48" ht="18" customHeight="1">
      <c r="A48" s="16" t="inlineStr">
        <is>
          <t>031980</t>
        </is>
      </c>
      <c r="B48" s="16" t="inlineStr">
        <is>
          <t>피에스케이홀딩스</t>
        </is>
      </c>
      <c r="C48" s="16" t="inlineStr">
        <is>
          <t>Peter Lynch</t>
        </is>
      </c>
      <c r="D48" s="19" t="inlineStr">
        <is>
          <t>매도</t>
        </is>
      </c>
      <c r="E48" s="16" t="n">
        <v>81</v>
      </c>
      <c r="F48" s="20" t="inlineStr">
        <is>
          <t>PEG·밸류에이션 확인이 부족하고 린치식 10배주 조건을 충족하지 못했습니다. 성장률 -3.6%만으로는 과반 매수 근거가 약합니다.</t>
        </is>
      </c>
    </row>
    <row r="49" ht="18" customHeight="1">
      <c r="A49" s="16" t="inlineStr">
        <is>
          <t>031980</t>
        </is>
      </c>
      <c r="B49" s="16" t="inlineStr">
        <is>
          <t>피에스케이홀딩스</t>
        </is>
      </c>
      <c r="C49" s="16" t="inlineStr">
        <is>
          <t>Phil Fisher</t>
        </is>
      </c>
      <c r="D49" s="10" t="inlineStr">
        <is>
          <t>중립</t>
        </is>
      </c>
      <c r="E49" s="16" t="n">
        <v>56</v>
      </c>
      <c r="F49" s="20" t="inlineStr">
        <is>
          <t>성장성은 일부 확인되지만 피셔식 장기 확신에는 추가 검증이 필요합니다. 양호한 ROE (18%); 높은 영업마진 (35%).</t>
        </is>
      </c>
    </row>
    <row r="50" ht="18" customHeight="1">
      <c r="A50" s="16" t="inlineStr">
        <is>
          <t>103590</t>
        </is>
      </c>
      <c r="B50" s="16" t="inlineStr">
        <is>
          <t>일진전기</t>
        </is>
      </c>
      <c r="C50" s="16" t="inlineStr">
        <is>
          <t>Warren Buffett</t>
        </is>
      </c>
      <c r="D50" s="10" t="inlineStr">
        <is>
          <t>중립</t>
        </is>
      </c>
      <c r="E50" s="16" t="n">
        <v>61</v>
      </c>
      <c r="F50" s="20" t="inlineStr">
        <is>
          <t>일부 품질 요인은 확인되지만 버핏식 확신에는 부족합니다. 고성장 매출 (+30%); 강한 1M 모멘텀 (+46%).</t>
        </is>
      </c>
    </row>
    <row r="51" ht="18" customHeight="1">
      <c r="A51" s="16" t="inlineStr">
        <is>
          <t>103590</t>
        </is>
      </c>
      <c r="B51" s="16" t="inlineStr">
        <is>
          <t>일진전기</t>
        </is>
      </c>
      <c r="C51" s="16" t="inlineStr">
        <is>
          <t>Peter Lynch</t>
        </is>
      </c>
      <c r="D51" s="10" t="inlineStr">
        <is>
          <t>중립</t>
        </is>
      </c>
      <c r="E51" s="16" t="n">
        <v>62</v>
      </c>
      <c r="F51" s="20" t="inlineStr">
        <is>
          <t>성장 단서는 있으나 PEG와 밸류에이션 검증이 제한적입니다. 고성장 매출 (+30%); 강한 1M 모멘텀 (+46%).</t>
        </is>
      </c>
    </row>
    <row r="52" ht="18" customHeight="1">
      <c r="A52" s="16" t="inlineStr">
        <is>
          <t>103590</t>
        </is>
      </c>
      <c r="B52" s="16" t="inlineStr">
        <is>
          <t>일진전기</t>
        </is>
      </c>
      <c r="C52" s="16" t="inlineStr">
        <is>
          <t>Phil Fisher</t>
        </is>
      </c>
      <c r="D52" s="10" t="inlineStr">
        <is>
          <t>중립</t>
        </is>
      </c>
      <c r="E52" s="16" t="n">
        <v>61</v>
      </c>
      <c r="F52" s="20" t="inlineStr">
        <is>
          <t>성장성은 일부 확인되지만 피셔식 장기 확신에는 추가 검증이 필요합니다. 고성장 매출 (+30%); 강한 1M 모멘텀 (+46%).</t>
        </is>
      </c>
    </row>
    <row r="53" ht="18" customHeight="1">
      <c r="A53" s="16" t="inlineStr">
        <is>
          <t>443060</t>
        </is>
      </c>
      <c r="B53" s="16" t="inlineStr">
        <is>
          <t>HD현대마린솔루션</t>
        </is>
      </c>
      <c r="C53" s="16" t="inlineStr">
        <is>
          <t>Warren Buffett</t>
        </is>
      </c>
      <c r="D53" s="7" t="inlineStr">
        <is>
          <t>매수</t>
        </is>
      </c>
      <c r="E53" s="16" t="n">
        <v>61</v>
      </c>
      <c r="F53" s="20" t="inlineStr">
        <is>
          <t>ROE 32.7%와 품질 지표가 강해 경제적 해자 관점에서 우호적입니다. 다만 P/E가 N/A라 안전마진 확인은 제한됩니다.</t>
        </is>
      </c>
    </row>
    <row r="54" ht="18" customHeight="1">
      <c r="A54" s="16" t="inlineStr">
        <is>
          <t>443060</t>
        </is>
      </c>
      <c r="B54" s="16" t="inlineStr">
        <is>
          <t>HD현대마린솔루션</t>
        </is>
      </c>
      <c r="C54" s="16" t="inlineStr">
        <is>
          <t>Peter Lynch</t>
        </is>
      </c>
      <c r="D54" s="19" t="inlineStr">
        <is>
          <t>매도</t>
        </is>
      </c>
      <c r="E54" s="16" t="n">
        <v>67</v>
      </c>
      <c r="F54" s="20" t="inlineStr">
        <is>
          <t>PEG·밸류에이션 확인이 부족하고 린치식 10배주 조건을 충족하지 못했습니다. 성장률 13.6%만으로는 과반 매수 근거가 약합니다.</t>
        </is>
      </c>
    </row>
    <row r="55" ht="18" customHeight="1">
      <c r="A55" s="16" t="inlineStr">
        <is>
          <t>443060</t>
        </is>
      </c>
      <c r="B55" s="16" t="inlineStr">
        <is>
          <t>HD현대마린솔루션</t>
        </is>
      </c>
      <c r="C55" s="16" t="inlineStr">
        <is>
          <t>Phil Fisher</t>
        </is>
      </c>
      <c r="D55" s="10" t="inlineStr">
        <is>
          <t>중립</t>
        </is>
      </c>
      <c r="E55" s="16" t="n">
        <v>57</v>
      </c>
      <c r="F55" s="20" t="inlineStr">
        <is>
          <t>성장성은 일부 확인되지만 피셔식 장기 확신에는 추가 검증이 필요합니다. 뛰어난 ROE (33%); 높은 ROIC (32%).</t>
        </is>
      </c>
    </row>
    <row r="56" ht="18" customHeight="1">
      <c r="A56" s="16" t="inlineStr">
        <is>
          <t>082740</t>
        </is>
      </c>
      <c r="B56" s="16" t="inlineStr">
        <is>
          <t>한화엔진</t>
        </is>
      </c>
      <c r="C56" s="16" t="inlineStr">
        <is>
          <t>Warren Buffett</t>
        </is>
      </c>
      <c r="D56" s="10" t="inlineStr">
        <is>
          <t>중립</t>
        </is>
      </c>
      <c r="E56" s="16" t="n">
        <v>59</v>
      </c>
      <c r="F56" s="20" t="inlineStr">
        <is>
          <t>일부 품질 요인은 확인되지만 버핏식 확신에는 부족합니다. 뛰어난 ROE (31%); 강한 1M 모멘텀 (+80%).</t>
        </is>
      </c>
    </row>
    <row r="57" ht="18" customHeight="1">
      <c r="A57" s="16" t="inlineStr">
        <is>
          <t>082740</t>
        </is>
      </c>
      <c r="B57" s="16" t="inlineStr">
        <is>
          <t>한화엔진</t>
        </is>
      </c>
      <c r="C57" s="16" t="inlineStr">
        <is>
          <t>Peter Lynch</t>
        </is>
      </c>
      <c r="D57" s="19" t="inlineStr">
        <is>
          <t>매도</t>
        </is>
      </c>
      <c r="E57" s="16" t="n">
        <v>72</v>
      </c>
      <c r="F57" s="20" t="inlineStr">
        <is>
          <t>PEG·밸류에이션 확인이 부족하고 린치식 10배주 조건을 충족하지 못했습니다. 성장률 14.0%만으로는 과반 매수 근거가 약합니다.</t>
        </is>
      </c>
    </row>
    <row r="58" ht="18" customHeight="1">
      <c r="A58" s="16" t="inlineStr">
        <is>
          <t>082740</t>
        </is>
      </c>
      <c r="B58" s="16" t="inlineStr">
        <is>
          <t>한화엔진</t>
        </is>
      </c>
      <c r="C58" s="16" t="inlineStr">
        <is>
          <t>Phil Fisher</t>
        </is>
      </c>
      <c r="D58" s="10" t="inlineStr">
        <is>
          <t>중립</t>
        </is>
      </c>
      <c r="E58" s="16" t="n">
        <v>58</v>
      </c>
      <c r="F58" s="20" t="inlineStr">
        <is>
          <t>성장성은 일부 확인되지만 피셔식 장기 확신에는 추가 검증이 필요합니다. 뛰어난 ROE (31%); 강한 1M 모멘텀 (+80%).</t>
        </is>
      </c>
    </row>
    <row r="59" ht="18" customHeight="1">
      <c r="A59" s="16" t="inlineStr">
        <is>
          <t>229640</t>
        </is>
      </c>
      <c r="B59" s="16" t="inlineStr">
        <is>
          <t>LS에코에너지</t>
        </is>
      </c>
      <c r="C59" s="16" t="inlineStr">
        <is>
          <t>Warren Buffett</t>
        </is>
      </c>
      <c r="D59" s="10" t="inlineStr">
        <is>
          <t>중립</t>
        </is>
      </c>
      <c r="E59" s="16" t="n">
        <v>59</v>
      </c>
      <c r="F59" s="20" t="inlineStr">
        <is>
          <t>일부 품질 요인은 확인되지만 버핏식 확신에는 부족합니다. 양호한 ROE (21%); 높은 ROIC (22%).</t>
        </is>
      </c>
    </row>
    <row r="60" ht="18" customHeight="1">
      <c r="A60" s="16" t="inlineStr">
        <is>
          <t>229640</t>
        </is>
      </c>
      <c r="B60" s="16" t="inlineStr">
        <is>
          <t>LS에코에너지</t>
        </is>
      </c>
      <c r="C60" s="16" t="inlineStr">
        <is>
          <t>Peter Lynch</t>
        </is>
      </c>
      <c r="D60" s="19" t="inlineStr">
        <is>
          <t>매도</t>
        </is>
      </c>
      <c r="E60" s="16" t="n">
        <v>72</v>
      </c>
      <c r="F60" s="20" t="inlineStr">
        <is>
          <t>PEG·밸류에이션 확인이 부족하고 린치식 10배주 조건을 충족하지 못했습니다. 성장률 10.5%만으로는 과반 매수 근거가 약합니다.</t>
        </is>
      </c>
    </row>
    <row r="61" ht="18" customHeight="1">
      <c r="A61" s="16" t="inlineStr">
        <is>
          <t>229640</t>
        </is>
      </c>
      <c r="B61" s="16" t="inlineStr">
        <is>
          <t>LS에코에너지</t>
        </is>
      </c>
      <c r="C61" s="16" t="inlineStr">
        <is>
          <t>Phil Fisher</t>
        </is>
      </c>
      <c r="D61" s="10" t="inlineStr">
        <is>
          <t>중립</t>
        </is>
      </c>
      <c r="E61" s="16" t="n">
        <v>62</v>
      </c>
      <c r="F61" s="20" t="inlineStr">
        <is>
          <t>성장성은 일부 확인되지만 피셔식 장기 확신에는 추가 검증이 필요합니다. 양호한 ROE (21%); 높은 ROIC (22%).</t>
        </is>
      </c>
    </row>
    <row r="62" ht="18" customHeight="1">
      <c r="A62" s="16" t="inlineStr">
        <is>
          <t>402340</t>
        </is>
      </c>
      <c r="B62" s="16" t="inlineStr">
        <is>
          <t>SK스퀘어</t>
        </is>
      </c>
      <c r="C62" s="16" t="inlineStr">
        <is>
          <t>Warren Buffett</t>
        </is>
      </c>
      <c r="D62" s="7" t="inlineStr">
        <is>
          <t>매수</t>
        </is>
      </c>
      <c r="E62" s="16" t="n">
        <v>90</v>
      </c>
      <c r="F62" s="20" t="inlineStr">
        <is>
          <t>ROE 31.5%와 품질 지표가 강해 경제적 해자 관점에서 우호적입니다. 다만 P/E가 N/A라 안전마진 확인은 제한됩니다.</t>
        </is>
      </c>
    </row>
    <row r="63" ht="18" customHeight="1">
      <c r="A63" s="16" t="inlineStr">
        <is>
          <t>402340</t>
        </is>
      </c>
      <c r="B63" s="16" t="inlineStr">
        <is>
          <t>SK스퀘어</t>
        </is>
      </c>
      <c r="C63" s="16" t="inlineStr">
        <is>
          <t>Peter Lynch</t>
        </is>
      </c>
      <c r="D63" s="19" t="inlineStr">
        <is>
          <t>매도</t>
        </is>
      </c>
      <c r="E63" s="16" t="n">
        <v>90</v>
      </c>
      <c r="F63" s="20" t="inlineStr">
        <is>
          <t>PEG·밸류에이션 확인이 부족하고 린치식 10배주 조건을 충족하지 못했습니다. 성장률 -14.4%만으로는 과반 매수 근거가 약합니다.</t>
        </is>
      </c>
    </row>
    <row r="64" ht="18" customHeight="1">
      <c r="A64" s="16" t="inlineStr">
        <is>
          <t>402340</t>
        </is>
      </c>
      <c r="B64" s="16" t="inlineStr">
        <is>
          <t>SK스퀘어</t>
        </is>
      </c>
      <c r="C64" s="16" t="inlineStr">
        <is>
          <t>Phil Fisher</t>
        </is>
      </c>
      <c r="D64" s="10" t="inlineStr">
        <is>
          <t>중립</t>
        </is>
      </c>
      <c r="E64" s="16" t="n">
        <v>58</v>
      </c>
      <c r="F64" s="20" t="inlineStr">
        <is>
          <t>성장성은 일부 확인되지만 피셔식 장기 확신에는 추가 검증이 필요합니다. 뛰어난 ROE (32%); 높은 ROIC (23%).</t>
        </is>
      </c>
    </row>
    <row r="65" ht="18" customHeight="1">
      <c r="A65" s="16" t="inlineStr">
        <is>
          <t>298040</t>
        </is>
      </c>
      <c r="B65" s="16" t="inlineStr">
        <is>
          <t>효성중공업</t>
        </is>
      </c>
      <c r="C65" s="16" t="inlineStr">
        <is>
          <t>Warren Buffett</t>
        </is>
      </c>
      <c r="D65" s="10" t="inlineStr">
        <is>
          <t>중립</t>
        </is>
      </c>
      <c r="E65" s="16" t="n">
        <v>61</v>
      </c>
      <c r="F65" s="20" t="inlineStr">
        <is>
          <t>일부 품질 요인은 확인되지만 버핏식 확신에는 부족합니다. 양호한 매출 성장 (+22%); 양호한 ROE (20%).</t>
        </is>
      </c>
    </row>
    <row r="66" ht="18" customHeight="1">
      <c r="A66" s="16" t="inlineStr">
        <is>
          <t>298040</t>
        </is>
      </c>
      <c r="B66" s="16" t="inlineStr">
        <is>
          <t>효성중공업</t>
        </is>
      </c>
      <c r="C66" s="16" t="inlineStr">
        <is>
          <t>Peter Lynch</t>
        </is>
      </c>
      <c r="D66" s="19" t="inlineStr">
        <is>
          <t>매도</t>
        </is>
      </c>
      <c r="E66" s="16" t="n">
        <v>64</v>
      </c>
      <c r="F66" s="20" t="inlineStr">
        <is>
          <t>PEG·밸류에이션 확인이 부족하고 린치식 10배주 조건을 충족하지 못했습니다. 성장률 21.9%만으로는 과반 매수 근거가 약합니다.</t>
        </is>
      </c>
    </row>
    <row r="67" ht="18" customHeight="1">
      <c r="A67" s="16" t="inlineStr">
        <is>
          <t>298040</t>
        </is>
      </c>
      <c r="B67" s="16" t="inlineStr">
        <is>
          <t>효성중공업</t>
        </is>
      </c>
      <c r="C67" s="16" t="inlineStr">
        <is>
          <t>Phil Fisher</t>
        </is>
      </c>
      <c r="D67" s="10" t="inlineStr">
        <is>
          <t>중립</t>
        </is>
      </c>
      <c r="E67" s="16" t="n">
        <v>60</v>
      </c>
      <c r="F67" s="20" t="inlineStr">
        <is>
          <t>성장성은 일부 확인되지만 피셔식 장기 확신에는 추가 검증이 필요합니다. 양호한 매출 성장 (+22%); 양호한 ROE (20%).</t>
        </is>
      </c>
    </row>
    <row r="68" ht="18" customHeight="1">
      <c r="A68" s="16" t="inlineStr">
        <is>
          <t>007660</t>
        </is>
      </c>
      <c r="B68" s="16" t="inlineStr">
        <is>
          <t>이수페타시스</t>
        </is>
      </c>
      <c r="C68" s="16" t="inlineStr">
        <is>
          <t>Warren Buffett</t>
        </is>
      </c>
      <c r="D68" s="10" t="inlineStr">
        <is>
          <t>중립</t>
        </is>
      </c>
      <c r="E68" s="16" t="n">
        <v>59</v>
      </c>
      <c r="F68" s="20" t="inlineStr">
        <is>
          <t>일부 품질 요인은 확인되지만 버핏식 확신에는 부족합니다. 고성장 매출 (+30%); 양호한 ROE (21%).</t>
        </is>
      </c>
    </row>
    <row r="69" ht="18" customHeight="1">
      <c r="A69" s="16" t="inlineStr">
        <is>
          <t>007660</t>
        </is>
      </c>
      <c r="B69" s="16" t="inlineStr">
        <is>
          <t>이수페타시스</t>
        </is>
      </c>
      <c r="C69" s="16" t="inlineStr">
        <is>
          <t>Peter Lynch</t>
        </is>
      </c>
      <c r="D69" s="10" t="inlineStr">
        <is>
          <t>중립</t>
        </is>
      </c>
      <c r="E69" s="16" t="n">
        <v>60</v>
      </c>
      <c r="F69" s="20" t="inlineStr">
        <is>
          <t>성장 단서는 있으나 PEG와 밸류에이션 검증이 제한적입니다. 고성장 매출 (+30%); 양호한 ROE (21%).</t>
        </is>
      </c>
    </row>
    <row r="70" ht="18" customHeight="1">
      <c r="A70" s="16" t="inlineStr">
        <is>
          <t>007660</t>
        </is>
      </c>
      <c r="B70" s="16" t="inlineStr">
        <is>
          <t>이수페타시스</t>
        </is>
      </c>
      <c r="C70" s="16" t="inlineStr">
        <is>
          <t>Phil Fisher</t>
        </is>
      </c>
      <c r="D70" s="10" t="inlineStr">
        <is>
          <t>중립</t>
        </is>
      </c>
      <c r="E70" s="16" t="n">
        <v>60</v>
      </c>
      <c r="F70" s="20" t="inlineStr">
        <is>
          <t>성장성은 일부 확인되지만 피셔식 장기 확신에는 추가 검증이 필요합니다. 고성장 매출 (+30%); 양호한 ROE (21%).</t>
        </is>
      </c>
    </row>
    <row r="71" ht="18" customHeight="1">
      <c r="A71" s="16" t="inlineStr">
        <is>
          <t>403870</t>
        </is>
      </c>
      <c r="B71" s="16" t="inlineStr">
        <is>
          <t>HPSP</t>
        </is>
      </c>
      <c r="C71" s="16" t="inlineStr">
        <is>
          <t>Warren Buffett</t>
        </is>
      </c>
      <c r="D71" s="7" t="inlineStr">
        <is>
          <t>매수</t>
        </is>
      </c>
      <c r="E71" s="16" t="n">
        <v>87</v>
      </c>
      <c r="F71" s="20" t="inlineStr">
        <is>
          <t>ROE 23.6%와 품질 지표가 강해 경제적 해자 관점에서 우호적입니다. 다만 P/E가 N/A라 안전마진 확인은 제한됩니다.</t>
        </is>
      </c>
    </row>
    <row r="72" ht="18" customHeight="1">
      <c r="A72" s="16" t="inlineStr">
        <is>
          <t>403870</t>
        </is>
      </c>
      <c r="B72" s="16" t="inlineStr">
        <is>
          <t>HPSP</t>
        </is>
      </c>
      <c r="C72" s="16" t="inlineStr">
        <is>
          <t>Peter Lynch</t>
        </is>
      </c>
      <c r="D72" s="19" t="inlineStr">
        <is>
          <t>매도</t>
        </is>
      </c>
      <c r="E72" s="16" t="n">
        <v>81</v>
      </c>
      <c r="F72" s="20" t="inlineStr">
        <is>
          <t>PEG·밸류에이션 확인이 부족하고 린치식 10배주 조건을 충족하지 못했습니다. 성장률 -4.7%만으로는 과반 매수 근거가 약합니다.</t>
        </is>
      </c>
    </row>
    <row r="73" ht="18" customHeight="1">
      <c r="A73" s="16" t="inlineStr">
        <is>
          <t>403870</t>
        </is>
      </c>
      <c r="B73" s="16" t="inlineStr">
        <is>
          <t>HPSP</t>
        </is>
      </c>
      <c r="C73" s="16" t="inlineStr">
        <is>
          <t>Phil Fisher</t>
        </is>
      </c>
      <c r="D73" s="10" t="inlineStr">
        <is>
          <t>중립</t>
        </is>
      </c>
      <c r="E73" s="16" t="n">
        <v>57</v>
      </c>
      <c r="F73" s="20" t="inlineStr">
        <is>
          <t>성장성은 일부 확인되지만 피셔식 장기 확신에는 추가 검증이 필요합니다. 양호한 ROE (24%); 높은 ROIC (23%).</t>
        </is>
      </c>
    </row>
    <row r="74" ht="18" customHeight="1">
      <c r="A74" s="16" t="inlineStr">
        <is>
          <t>267260</t>
        </is>
      </c>
      <c r="B74" s="16" t="inlineStr">
        <is>
          <t>HD현대일렉트릭</t>
        </is>
      </c>
      <c r="C74" s="16" t="inlineStr">
        <is>
          <t>Warren Buffett</t>
        </is>
      </c>
      <c r="D74" s="10" t="inlineStr">
        <is>
          <t>중립</t>
        </is>
      </c>
      <c r="E74" s="16" t="n">
        <v>62</v>
      </c>
      <c r="F74" s="20" t="inlineStr">
        <is>
          <t>일부 품질 요인은 확인되지만 버핏식 확신에는 부족합니다. 양호한 매출 성장 (+23%); 뛰어난 ROE (36%).</t>
        </is>
      </c>
    </row>
    <row r="75" ht="18" customHeight="1">
      <c r="A75" s="16" t="inlineStr">
        <is>
          <t>267260</t>
        </is>
      </c>
      <c r="B75" s="16" t="inlineStr">
        <is>
          <t>HD현대일렉트릭</t>
        </is>
      </c>
      <c r="C75" s="16" t="inlineStr">
        <is>
          <t>Peter Lynch</t>
        </is>
      </c>
      <c r="D75" s="19" t="inlineStr">
        <is>
          <t>매도</t>
        </is>
      </c>
      <c r="E75" s="16" t="n">
        <v>64</v>
      </c>
      <c r="F75" s="20" t="inlineStr">
        <is>
          <t>PEG·밸류에이션 확인이 부족하고 린치식 10배주 조건을 충족하지 못했습니다. 성장률 22.8%만으로는 과반 매수 근거가 약합니다.</t>
        </is>
      </c>
    </row>
    <row r="76" ht="18" customHeight="1">
      <c r="A76" s="16" t="inlineStr">
        <is>
          <t>267260</t>
        </is>
      </c>
      <c r="B76" s="16" t="inlineStr">
        <is>
          <t>HD현대일렉트릭</t>
        </is>
      </c>
      <c r="C76" s="16" t="inlineStr">
        <is>
          <t>Phil Fisher</t>
        </is>
      </c>
      <c r="D76" s="10" t="inlineStr">
        <is>
          <t>중립</t>
        </is>
      </c>
      <c r="E76" s="16" t="n">
        <v>58</v>
      </c>
      <c r="F76" s="20" t="inlineStr">
        <is>
          <t>성장성은 일부 확인되지만 피셔식 장기 확신에는 추가 검증이 필요합니다. 양호한 매출 성장 (+23%); 뛰어난 ROE (36%).</t>
        </is>
      </c>
    </row>
    <row r="77" ht="18" customHeight="1">
      <c r="A77" s="16" t="inlineStr">
        <is>
          <t>071970</t>
        </is>
      </c>
      <c r="B77" s="16" t="inlineStr">
        <is>
          <t>HD현대마린엔진</t>
        </is>
      </c>
      <c r="C77" s="16" t="inlineStr">
        <is>
          <t>Warren Buffett</t>
        </is>
      </c>
      <c r="D77" s="10" t="inlineStr">
        <is>
          <t>중립</t>
        </is>
      </c>
      <c r="E77" s="16" t="n">
        <v>61</v>
      </c>
      <c r="F77" s="20" t="inlineStr">
        <is>
          <t>일부 품질 요인은 확인되지만 버핏식 확신에는 부족합니다. 고성장 매출 (+27%); 뛰어난 ROE (34%).</t>
        </is>
      </c>
    </row>
    <row r="78" ht="18" customHeight="1">
      <c r="A78" s="16" t="inlineStr">
        <is>
          <t>071970</t>
        </is>
      </c>
      <c r="B78" s="16" t="inlineStr">
        <is>
          <t>HD현대마린엔진</t>
        </is>
      </c>
      <c r="C78" s="16" t="inlineStr">
        <is>
          <t>Peter Lynch</t>
        </is>
      </c>
      <c r="D78" s="10" t="inlineStr">
        <is>
          <t>중립</t>
        </is>
      </c>
      <c r="E78" s="16" t="n">
        <v>60</v>
      </c>
      <c r="F78" s="20" t="inlineStr">
        <is>
          <t>성장 단서는 있으나 PEG와 밸류에이션 검증이 제한적입니다. 고성장 매출 (+27%); 뛰어난 ROE (34%).</t>
        </is>
      </c>
    </row>
    <row r="79" ht="18" customHeight="1">
      <c r="A79" s="16" t="inlineStr">
        <is>
          <t>071970</t>
        </is>
      </c>
      <c r="B79" s="16" t="inlineStr">
        <is>
          <t>HD현대마린엔진</t>
        </is>
      </c>
      <c r="C79" s="16" t="inlineStr">
        <is>
          <t>Phil Fisher</t>
        </is>
      </c>
      <c r="D79" s="7" t="inlineStr">
        <is>
          <t>매수</t>
        </is>
      </c>
      <c r="E79" s="16" t="n">
        <v>66</v>
      </c>
      <c r="F79" s="20" t="inlineStr">
        <is>
          <t>성장 품질과 장기 경쟁력 신호가 양호합니다. 매출 성장 27.4%, 모멘텀 8.0점이 피셔 관점의 긍정 근거입니다.</t>
        </is>
      </c>
    </row>
    <row r="80" ht="18" customHeight="1">
      <c r="A80" s="16" t="inlineStr">
        <is>
          <t>014620</t>
        </is>
      </c>
      <c r="B80" s="16" t="inlineStr">
        <is>
          <t>성광벤드</t>
        </is>
      </c>
      <c r="C80" s="16" t="inlineStr">
        <is>
          <t>Warren Buffett</t>
        </is>
      </c>
      <c r="D80" s="10" t="inlineStr">
        <is>
          <t>중립</t>
        </is>
      </c>
      <c r="E80" s="16" t="n">
        <v>55</v>
      </c>
      <c r="F80" s="20" t="inlineStr">
        <is>
          <t>일부 품질 요인은 확인되지만 버핏식 확신에는 부족합니다. 강한 1M 모멘텀 (+30%); 강한 3M 모멘텀 (+43%).</t>
        </is>
      </c>
    </row>
    <row r="81" ht="18" customHeight="1">
      <c r="A81" s="16" t="inlineStr">
        <is>
          <t>014620</t>
        </is>
      </c>
      <c r="B81" s="16" t="inlineStr">
        <is>
          <t>성광벤드</t>
        </is>
      </c>
      <c r="C81" s="16" t="inlineStr">
        <is>
          <t>Peter Lynch</t>
        </is>
      </c>
      <c r="D81" s="19" t="inlineStr">
        <is>
          <t>매도</t>
        </is>
      </c>
      <c r="E81" s="16" t="n">
        <v>85</v>
      </c>
      <c r="F81" s="20" t="inlineStr">
        <is>
          <t>PEG·밸류에이션 확인이 부족하고 린치식 10배주 조건을 충족하지 못했습니다. 성장률 7.9%만으로는 과반 매수 근거가 약합니다.</t>
        </is>
      </c>
    </row>
    <row r="82" ht="18" customHeight="1">
      <c r="A82" s="16" t="inlineStr">
        <is>
          <t>014620</t>
        </is>
      </c>
      <c r="B82" s="16" t="inlineStr">
        <is>
          <t>성광벤드</t>
        </is>
      </c>
      <c r="C82" s="16" t="inlineStr">
        <is>
          <t>Phil Fisher</t>
        </is>
      </c>
      <c r="D82" s="19" t="inlineStr">
        <is>
          <t>매도</t>
        </is>
      </c>
      <c r="E82" s="16" t="n">
        <v>63</v>
      </c>
      <c r="F82" s="20" t="inlineStr">
        <is>
          <t>장기 성장 품질과 경영·R&amp;D 우위의 증거가 충분하지 않습니다. 강한 1M 모멘텀 (+30%); 강한 3M 모멘텀 (+43%).</t>
        </is>
      </c>
    </row>
    <row r="83" ht="18" customHeight="1">
      <c r="A83" s="16" t="inlineStr">
        <is>
          <t>033100</t>
        </is>
      </c>
      <c r="B83" s="16" t="inlineStr">
        <is>
          <t>제룡전기</t>
        </is>
      </c>
      <c r="C83" s="16" t="inlineStr">
        <is>
          <t>Warren Buffett</t>
        </is>
      </c>
      <c r="D83" s="7" t="inlineStr">
        <is>
          <t>매수</t>
        </is>
      </c>
      <c r="E83" s="16" t="n">
        <v>87</v>
      </c>
      <c r="F83" s="20" t="inlineStr">
        <is>
          <t>ROE 24.5%와 품질 지표가 강해 경제적 해자 관점에서 우호적입니다. 다만 P/E가 N/A라 안전마진 확인은 제한됩니다.</t>
        </is>
      </c>
    </row>
    <row r="84" ht="18" customHeight="1">
      <c r="A84" s="16" t="inlineStr">
        <is>
          <t>033100</t>
        </is>
      </c>
      <c r="B84" s="16" t="inlineStr">
        <is>
          <t>제룡전기</t>
        </is>
      </c>
      <c r="C84" s="16" t="inlineStr">
        <is>
          <t>Peter Lynch</t>
        </is>
      </c>
      <c r="D84" s="19" t="inlineStr">
        <is>
          <t>매도</t>
        </is>
      </c>
      <c r="E84" s="16" t="n">
        <v>90</v>
      </c>
      <c r="F84" s="20" t="inlineStr">
        <is>
          <t>PEG·밸류에이션 확인이 부족하고 린치식 10배주 조건을 충족하지 못했습니다. 성장률 -14.7%만으로는 과반 매수 근거가 약합니다.</t>
        </is>
      </c>
    </row>
    <row r="85" ht="18" customHeight="1">
      <c r="A85" s="16" t="inlineStr">
        <is>
          <t>033100</t>
        </is>
      </c>
      <c r="B85" s="16" t="inlineStr">
        <is>
          <t>제룡전기</t>
        </is>
      </c>
      <c r="C85" s="16" t="inlineStr">
        <is>
          <t>Phil Fisher</t>
        </is>
      </c>
      <c r="D85" s="10" t="inlineStr">
        <is>
          <t>중립</t>
        </is>
      </c>
      <c r="E85" s="16" t="n">
        <v>57</v>
      </c>
      <c r="F85" s="20" t="inlineStr">
        <is>
          <t>성장성은 일부 확인되지만 피셔식 장기 확신에는 추가 검증이 필요합니다. 양호한 ROE (25%); 높은 ROIC (22%).</t>
        </is>
      </c>
    </row>
    <row r="86" ht="18" customHeight="1">
      <c r="A86" s="16" t="inlineStr">
        <is>
          <t>213420</t>
        </is>
      </c>
      <c r="B86" s="16" t="inlineStr">
        <is>
          <t>덕산네오룩스</t>
        </is>
      </c>
      <c r="C86" s="16" t="inlineStr">
        <is>
          <t>Warren Buffett</t>
        </is>
      </c>
      <c r="D86" s="10" t="inlineStr">
        <is>
          <t>중립</t>
        </is>
      </c>
      <c r="E86" s="16" t="n">
        <v>60</v>
      </c>
      <c r="F86" s="20" t="inlineStr">
        <is>
          <t>일부 품질 요인은 확인되지만 버핏식 확신에는 부족합니다. 고성장 매출 (+62%); 강한 3M 모멘텀 (+34%).</t>
        </is>
      </c>
    </row>
    <row r="87" ht="18" customHeight="1">
      <c r="A87" s="16" t="inlineStr">
        <is>
          <t>213420</t>
        </is>
      </c>
      <c r="B87" s="16" t="inlineStr">
        <is>
          <t>덕산네오룩스</t>
        </is>
      </c>
      <c r="C87" s="16" t="inlineStr">
        <is>
          <t>Peter Lynch</t>
        </is>
      </c>
      <c r="D87" s="10" t="inlineStr">
        <is>
          <t>중립</t>
        </is>
      </c>
      <c r="E87" s="16" t="n">
        <v>62</v>
      </c>
      <c r="F87" s="20" t="inlineStr">
        <is>
          <t>성장 단서는 있으나 PEG와 밸류에이션 검증이 제한적입니다. 고성장 매출 (+62%); 강한 3M 모멘텀 (+34%).</t>
        </is>
      </c>
    </row>
    <row r="88" ht="18" customHeight="1">
      <c r="A88" s="16" t="inlineStr">
        <is>
          <t>213420</t>
        </is>
      </c>
      <c r="B88" s="16" t="inlineStr">
        <is>
          <t>덕산네오룩스</t>
        </is>
      </c>
      <c r="C88" s="16" t="inlineStr">
        <is>
          <t>Phil Fisher</t>
        </is>
      </c>
      <c r="D88" s="10" t="inlineStr">
        <is>
          <t>중립</t>
        </is>
      </c>
      <c r="E88" s="16" t="n">
        <v>55</v>
      </c>
      <c r="F88" s="20" t="inlineStr">
        <is>
          <t>성장성은 일부 확인되지만 피셔식 장기 확신에는 추가 검증이 필요합니다. 고성장 매출 (+62%); 강한 3M 모멘텀 (+34%).</t>
        </is>
      </c>
    </row>
    <row r="89" ht="18" customHeight="1">
      <c r="A89" s="16" t="inlineStr">
        <is>
          <t>322000</t>
        </is>
      </c>
      <c r="B89" s="16" t="inlineStr">
        <is>
          <t>HD현대에너지솔루션</t>
        </is>
      </c>
      <c r="C89" s="16" t="inlineStr">
        <is>
          <t>Warren Buffett</t>
        </is>
      </c>
      <c r="D89" s="19" t="inlineStr">
        <is>
          <t>매도</t>
        </is>
      </c>
      <c r="E89" s="16" t="n">
        <v>65</v>
      </c>
      <c r="F89" s="20" t="inlineStr">
        <is>
          <t>장기 보유 관점의 품질·예측가능성 점수가 낮습니다. 양호한 매출 성장 (+17%); 강한 1M 모멘텀 (+52%)에도 불구하고 안전마진 근거가 부족합니다.</t>
        </is>
      </c>
    </row>
    <row r="90" ht="18" customHeight="1">
      <c r="A90" s="16" t="inlineStr">
        <is>
          <t>322000</t>
        </is>
      </c>
      <c r="B90" s="16" t="inlineStr">
        <is>
          <t>HD현대에너지솔루션</t>
        </is>
      </c>
      <c r="C90" s="16" t="inlineStr">
        <is>
          <t>Peter Lynch</t>
        </is>
      </c>
      <c r="D90" s="19" t="inlineStr">
        <is>
          <t>매도</t>
        </is>
      </c>
      <c r="E90" s="16" t="n">
        <v>74</v>
      </c>
      <c r="F90" s="20" t="inlineStr">
        <is>
          <t>PEG·밸류에이션 확인이 부족하고 린치식 10배주 조건을 충족하지 못했습니다. 성장률 16.6%만으로는 과반 매수 근거가 약합니다.</t>
        </is>
      </c>
    </row>
    <row r="91" ht="18" customHeight="1">
      <c r="A91" s="16" t="inlineStr">
        <is>
          <t>322000</t>
        </is>
      </c>
      <c r="B91" s="16" t="inlineStr">
        <is>
          <t>HD현대에너지솔루션</t>
        </is>
      </c>
      <c r="C91" s="16" t="inlineStr">
        <is>
          <t>Phil Fisher</t>
        </is>
      </c>
      <c r="D91" s="19" t="inlineStr">
        <is>
          <t>매도</t>
        </is>
      </c>
      <c r="E91" s="16" t="n">
        <v>61</v>
      </c>
      <c r="F91" s="20" t="inlineStr">
        <is>
          <t>장기 성장 품질과 경영·R&amp;D 우위의 증거가 충분하지 않습니다. 양호한 매출 성장 (+17%); 강한 1M 모멘텀 (+52%).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21" t="inlineStr">
        <is>
          <t>리스크 분석</t>
        </is>
      </c>
    </row>
    <row r="2"/>
    <row r="3">
      <c r="A3" s="4" t="inlineStr">
        <is>
          <t>집중도 지표</t>
        </is>
      </c>
      <c r="B3" s="3" t="inlineStr"/>
    </row>
    <row r="4">
      <c r="A4" s="3" t="inlineStr">
        <is>
          <t>상위 1종목 비중</t>
        </is>
      </c>
      <c r="B4" s="5">
        <f>SUM('포트폴리오'!D2:D2)</f>
        <v/>
      </c>
    </row>
    <row r="5">
      <c r="A5" s="3" t="inlineStr">
        <is>
          <t>상위 3종목 비중</t>
        </is>
      </c>
      <c r="B5" s="5">
        <f>SUM('포트폴리오'!D2:D4)</f>
        <v/>
      </c>
    </row>
    <row r="6">
      <c r="A6" s="3" t="inlineStr">
        <is>
          <t>상위 5종목 비중</t>
        </is>
      </c>
      <c r="B6" s="5">
        <f>SUM('포트폴리오'!D2:D6)</f>
        <v/>
      </c>
    </row>
    <row r="7">
      <c r="A7" s="3" t="inlineStr">
        <is>
          <t>상위 10종목 비중</t>
        </is>
      </c>
      <c r="B7" s="5">
        <f>SUM('포트폴리오'!D2:D7)</f>
        <v/>
      </c>
    </row>
    <row r="8">
      <c r="A8" s="3" t="inlineStr">
        <is>
          <t>HHI (허핀달 지수)</t>
        </is>
      </c>
      <c r="B8" s="22">
        <f>SUMPRODUCT('포트폴리오'!D2:D7,'포트폴리오'!D2:D7)</f>
        <v/>
      </c>
    </row>
    <row r="9"/>
    <row r="10">
      <c r="A10" s="4" t="inlineStr">
        <is>
          <t>분류 집중도</t>
        </is>
      </c>
      <c r="B10" s="3" t="inlineStr"/>
    </row>
    <row r="11">
      <c r="A11" s="3" t="inlineStr">
        <is>
          <t>최대 비현금 분류</t>
        </is>
      </c>
      <c r="B11" s="3" t="inlineStr">
        <is>
          <t>중형주</t>
        </is>
      </c>
    </row>
    <row r="12">
      <c r="A12" s="3" t="inlineStr">
        <is>
          <t>최대 비현금 분류 비중</t>
        </is>
      </c>
      <c r="B12" s="5" t="n">
        <v>0.35</v>
      </c>
    </row>
    <row r="13"/>
    <row r="14">
      <c r="A14" s="4" t="inlineStr">
        <is>
          <t>투자자 합의 품질</t>
        </is>
      </c>
      <c r="B14" s="3" t="inlineStr"/>
    </row>
    <row r="15">
      <c r="A15" s="3" t="inlineStr">
        <is>
          <t>만장일치 비율</t>
        </is>
      </c>
      <c r="B15" s="5">
        <f>COUNTIF('포트폴리오'!L2:L6,"3/3")/COUNTA('포트폴리오'!B2:B6)</f>
        <v/>
      </c>
    </row>
    <row r="16">
      <c r="A16" s="3" t="inlineStr">
        <is>
          <t>의견 분산 종목 수</t>
        </is>
      </c>
      <c r="B16" s="3" t="n">
        <v>24</v>
      </c>
    </row>
    <row r="17"/>
    <row r="18">
      <c r="A18" s="4" t="inlineStr">
        <is>
          <t>비편입 사유 분포</t>
        </is>
      </c>
      <c r="B18" s="3" t="inlineStr"/>
    </row>
    <row r="19">
      <c r="A19" s="3" t="inlineStr">
        <is>
          <t>투자자 과반 미달</t>
        </is>
      </c>
      <c r="B19" s="3" t="n">
        <v>25</v>
      </c>
    </row>
    <row r="20">
      <c r="A20" s="3" t="inlineStr">
        <is>
          <t>최소 비중 미달</t>
        </is>
      </c>
      <c r="B20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2026-04-28T02:02:49Z</dcterms:created>
  <dcterms:modified xmlns:dcterms="http://purl.org/dc/terms/" xmlns:xsi="http://www.w3.org/2001/XMLSchema-instance" xsi:type="dcterms:W3CDTF">2026-04-28T02:02:49Z</dcterms:modified>
</cp:coreProperties>
</file>