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앙상블 순위" sheetId="1" state="visible" r:id="rId1"/>
    <sheet xmlns:r="http://schemas.openxmlformats.org/officeDocument/2006/relationships" name="Tier 분류" sheetId="2" state="visible" r:id="rId2"/>
    <sheet xmlns:r="http://schemas.openxmlformats.org/officeDocument/2006/relationships" name="포트폴리오" sheetId="3" state="visible" r:id="rId3"/>
    <sheet xmlns:r="http://schemas.openxmlformats.org/officeDocument/2006/relationships" name="퀀트 vs 질적 갭" sheetId="4" state="visible" r:id="rId4"/>
    <sheet xmlns:r="http://schemas.openxmlformats.org/officeDocument/2006/relationships" name="포트폴리오 요약" sheetId="5" state="visible" r:id="rId5"/>
    <sheet xmlns:r="http://schemas.openxmlformats.org/officeDocument/2006/relationships" name="투자자별 관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;-0.0;0.0"/>
    <numFmt numFmtId="165" formatCode="+0.0%;-0.0%"/>
    <numFmt numFmtId="166" formatCode="+0.0%"/>
    <numFmt numFmtId="167" formatCode="+0;-0"/>
  </numFmts>
  <fonts count="15">
    <font>
      <name val="Calibri"/>
      <family val="2"/>
      <color theme="1"/>
      <sz val="11"/>
      <scheme val="minor"/>
    </font>
    <font>
      <b val="1"/>
      <color rgb="001B3A5C"/>
      <sz val="14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color rgb="002E7D32"/>
    </font>
    <font>
      <b val="1"/>
      <color rgb="002E7D32"/>
    </font>
    <font>
      <color rgb="00616161"/>
    </font>
    <font>
      <b val="1"/>
      <color rgb="00C62828"/>
    </font>
    <font>
      <color rgb="00C62828"/>
    </font>
    <font>
      <b val="1"/>
    </font>
    <font/>
    <font>
      <b val="1"/>
      <color rgb="00FFFFFF"/>
    </font>
    <font>
      <b val="1"/>
      <color rgb="001B3A5C"/>
      <sz val="11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9" fontId="0" fillId="7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167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2" fontId="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K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8" customWidth="1" min="4" max="4"/>
    <col width="8" customWidth="1" min="5" max="5"/>
    <col width="8" customWidth="1" min="6" max="6"/>
    <col width="8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S&amp;P 500 상위 30개 종목 앙상블 분석 (2026-01-28)</t>
        </is>
      </c>
    </row>
    <row r="2">
      <c r="A2" s="2" t="inlineStr">
        <is>
          <t>방법론: Buffett(×1.0) + Lynch(×0.85) + Fisher(×0.85) 가중 앙상블</t>
        </is>
      </c>
    </row>
    <row r="3">
      <c r="A3" s="3" t="inlineStr">
        <is>
          <t>순위</t>
        </is>
      </c>
      <c r="B3" s="3" t="inlineStr">
        <is>
          <t>종목</t>
        </is>
      </c>
      <c r="C3" s="3" t="inlineStr">
        <is>
          <t>앙상블 점수</t>
        </is>
      </c>
      <c r="D3" s="3" t="inlineStr">
        <is>
          <t>합의 유형</t>
        </is>
      </c>
      <c r="E3" s="3" t="inlineStr">
        <is>
          <t>Bullish</t>
        </is>
      </c>
      <c r="F3" s="3" t="inlineStr">
        <is>
          <t>Neutral</t>
        </is>
      </c>
      <c r="G3" s="3" t="inlineStr">
        <is>
          <t>Bearish</t>
        </is>
      </c>
      <c r="H3" s="3" t="inlineStr">
        <is>
          <t>퀀트 예상수익률</t>
        </is>
      </c>
      <c r="I3" s="3" t="inlineStr">
        <is>
          <t>Buffett</t>
        </is>
      </c>
      <c r="J3" s="3" t="inlineStr">
        <is>
          <t>Lynch</t>
        </is>
      </c>
      <c r="K3" s="3" t="inlineStr">
        <is>
          <t>Fisher</t>
        </is>
      </c>
    </row>
    <row r="4">
      <c r="A4" s="4" t="n">
        <v>1</v>
      </c>
      <c r="B4" s="5" t="inlineStr">
        <is>
          <t>AMP</t>
        </is>
      </c>
      <c r="C4" s="6" t="n">
        <v>86.3</v>
      </c>
      <c r="D4" s="4" t="inlineStr">
        <is>
          <t>만장일치 Bullish</t>
        </is>
      </c>
      <c r="E4" s="4" t="n">
        <v>3</v>
      </c>
      <c r="F4" s="4" t="n">
        <v>0</v>
      </c>
      <c r="G4" s="4" t="n">
        <v>0</v>
      </c>
      <c r="H4" s="7" t="n">
        <v>0.09300000000000001</v>
      </c>
      <c r="I4" s="8" t="inlineStr">
        <is>
          <t>bullish(92)</t>
        </is>
      </c>
      <c r="J4" s="8" t="inlineStr">
        <is>
          <t>bullish(88)</t>
        </is>
      </c>
      <c r="K4" s="8" t="inlineStr">
        <is>
          <t>bullish(78)</t>
        </is>
      </c>
    </row>
    <row r="5">
      <c r="A5" s="4" t="n">
        <v>2</v>
      </c>
      <c r="B5" s="5" t="inlineStr">
        <is>
          <t>ACGL</t>
        </is>
      </c>
      <c r="C5" s="6" t="n">
        <v>84.3</v>
      </c>
      <c r="D5" s="4" t="inlineStr">
        <is>
          <t>만장일치 Bullish</t>
        </is>
      </c>
      <c r="E5" s="4" t="n">
        <v>3</v>
      </c>
      <c r="F5" s="4" t="n">
        <v>0</v>
      </c>
      <c r="G5" s="4" t="n">
        <v>0</v>
      </c>
      <c r="H5" s="7" t="n">
        <v>0.133</v>
      </c>
      <c r="I5" s="8" t="inlineStr">
        <is>
          <t>bullish(95)</t>
        </is>
      </c>
      <c r="J5" s="8" t="inlineStr">
        <is>
          <t>bullish(78)</t>
        </is>
      </c>
      <c r="K5" s="8" t="inlineStr">
        <is>
          <t>bullish(78)</t>
        </is>
      </c>
    </row>
    <row r="6">
      <c r="A6" s="4" t="n">
        <v>3</v>
      </c>
      <c r="B6" s="5" t="inlineStr">
        <is>
          <t>PGR</t>
        </is>
      </c>
      <c r="C6" s="6" t="n">
        <v>83</v>
      </c>
      <c r="D6" s="4" t="inlineStr">
        <is>
          <t>만장일치 Bullish</t>
        </is>
      </c>
      <c r="E6" s="4" t="n">
        <v>3</v>
      </c>
      <c r="F6" s="4" t="n">
        <v>0</v>
      </c>
      <c r="G6" s="4" t="n">
        <v>0</v>
      </c>
      <c r="H6" s="7" t="n">
        <v>0.113</v>
      </c>
      <c r="I6" s="8" t="inlineStr">
        <is>
          <t>bullish(88)</t>
        </is>
      </c>
      <c r="J6" s="8" t="inlineStr">
        <is>
          <t>bullish(82)</t>
        </is>
      </c>
      <c r="K6" s="8" t="inlineStr">
        <is>
          <t>bullish(78)</t>
        </is>
      </c>
    </row>
    <row r="7">
      <c r="A7" s="9" t="n">
        <v>4</v>
      </c>
      <c r="B7" s="10" t="inlineStr">
        <is>
          <t>HIG</t>
        </is>
      </c>
      <c r="C7" s="11" t="n">
        <v>59.9</v>
      </c>
      <c r="D7" s="9" t="inlineStr">
        <is>
          <t>강한 Bullish</t>
        </is>
      </c>
      <c r="E7" s="9" t="n">
        <v>2</v>
      </c>
      <c r="F7" s="9" t="n">
        <v>1</v>
      </c>
      <c r="G7" s="9" t="n">
        <v>0</v>
      </c>
      <c r="H7" s="12" t="n">
        <v>0.137</v>
      </c>
      <c r="I7" s="13" t="inlineStr">
        <is>
          <t>bullish(92)</t>
        </is>
      </c>
      <c r="J7" s="13" t="inlineStr">
        <is>
          <t>bullish(82)</t>
        </is>
      </c>
      <c r="K7" s="14" t="inlineStr">
        <is>
          <t>neutral(45)</t>
        </is>
      </c>
    </row>
    <row r="8">
      <c r="A8" s="9" t="n">
        <v>5</v>
      </c>
      <c r="B8" s="10" t="inlineStr">
        <is>
          <t>TRV</t>
        </is>
      </c>
      <c r="C8" s="11" t="n">
        <v>56</v>
      </c>
      <c r="D8" s="9" t="inlineStr">
        <is>
          <t>강한 Bullish</t>
        </is>
      </c>
      <c r="E8" s="9" t="n">
        <v>2</v>
      </c>
      <c r="F8" s="9" t="n">
        <v>1</v>
      </c>
      <c r="G8" s="9" t="n">
        <v>0</v>
      </c>
      <c r="H8" s="12" t="n">
        <v>0.131</v>
      </c>
      <c r="I8" s="13" t="inlineStr">
        <is>
          <t>bullish(85)</t>
        </is>
      </c>
      <c r="J8" s="13" t="inlineStr">
        <is>
          <t>bullish(78)</t>
        </is>
      </c>
      <c r="K8" s="14" t="inlineStr">
        <is>
          <t>neutral(48)</t>
        </is>
      </c>
    </row>
    <row r="9">
      <c r="A9" s="9" t="n">
        <v>6</v>
      </c>
      <c r="B9" s="10" t="inlineStr">
        <is>
          <t>GL</t>
        </is>
      </c>
      <c r="C9" s="11" t="n">
        <v>54.9</v>
      </c>
      <c r="D9" s="9" t="inlineStr">
        <is>
          <t>강한 Bullish</t>
        </is>
      </c>
      <c r="E9" s="9" t="n">
        <v>2</v>
      </c>
      <c r="F9" s="9" t="n">
        <v>1</v>
      </c>
      <c r="G9" s="9" t="n">
        <v>0</v>
      </c>
      <c r="H9" s="12" t="n">
        <v>0.115</v>
      </c>
      <c r="I9" s="13" t="inlineStr">
        <is>
          <t>bullish(87)</t>
        </is>
      </c>
      <c r="J9" s="13" t="inlineStr">
        <is>
          <t>bullish(72)</t>
        </is>
      </c>
      <c r="K9" s="14" t="inlineStr">
        <is>
          <t>neutral(50)</t>
        </is>
      </c>
    </row>
    <row r="10">
      <c r="A10" s="9" t="n">
        <v>7</v>
      </c>
      <c r="B10" s="10" t="inlineStr">
        <is>
          <t>SYF</t>
        </is>
      </c>
      <c r="C10" s="11" t="n">
        <v>53.4</v>
      </c>
      <c r="D10" s="9" t="inlineStr">
        <is>
          <t>강한 Bullish</t>
        </is>
      </c>
      <c r="E10" s="9" t="n">
        <v>2</v>
      </c>
      <c r="F10" s="9" t="n">
        <v>1</v>
      </c>
      <c r="G10" s="9" t="n">
        <v>0</v>
      </c>
      <c r="H10" s="12" t="n">
        <v>0.125</v>
      </c>
      <c r="I10" s="13" t="inlineStr">
        <is>
          <t>bullish(72)</t>
        </is>
      </c>
      <c r="J10" s="13" t="inlineStr">
        <is>
          <t>bullish(85)</t>
        </is>
      </c>
      <c r="K10" s="14" t="inlineStr">
        <is>
          <t>neutral(45)</t>
        </is>
      </c>
    </row>
    <row r="11">
      <c r="A11" s="9" t="n">
        <v>8</v>
      </c>
      <c r="B11" s="10" t="inlineStr">
        <is>
          <t>MRK</t>
        </is>
      </c>
      <c r="C11" s="11" t="n">
        <v>50.4</v>
      </c>
      <c r="D11" s="9" t="inlineStr">
        <is>
          <t>강한 Bullish</t>
        </is>
      </c>
      <c r="E11" s="9" t="n">
        <v>2</v>
      </c>
      <c r="F11" s="9" t="n">
        <v>1</v>
      </c>
      <c r="G11" s="9" t="n">
        <v>0</v>
      </c>
      <c r="H11" s="12" t="n">
        <v>0.119</v>
      </c>
      <c r="I11" s="14" t="inlineStr">
        <is>
          <t>neutral(68)</t>
        </is>
      </c>
      <c r="J11" s="13" t="inlineStr">
        <is>
          <t>bullish(78)</t>
        </is>
      </c>
      <c r="K11" s="13" t="inlineStr">
        <is>
          <t>bullish(82)</t>
        </is>
      </c>
    </row>
    <row r="12">
      <c r="A12" s="9" t="n">
        <v>9</v>
      </c>
      <c r="B12" s="10" t="inlineStr">
        <is>
          <t>INCY</t>
        </is>
      </c>
      <c r="C12" s="11" t="n">
        <v>47.2</v>
      </c>
      <c r="D12" s="9" t="inlineStr">
        <is>
          <t>강한 Bullish</t>
        </is>
      </c>
      <c r="E12" s="9" t="n">
        <v>2</v>
      </c>
      <c r="F12" s="9" t="n">
        <v>1</v>
      </c>
      <c r="G12" s="9" t="n">
        <v>0</v>
      </c>
      <c r="H12" s="12" t="n">
        <v>0.156</v>
      </c>
      <c r="I12" s="14" t="inlineStr">
        <is>
          <t>neutral(60)</t>
        </is>
      </c>
      <c r="J12" s="13" t="inlineStr">
        <is>
          <t>bullish(70)</t>
        </is>
      </c>
      <c r="K12" s="13" t="inlineStr">
        <is>
          <t>bullish(80)</t>
        </is>
      </c>
    </row>
    <row r="13">
      <c r="A13" s="15" t="n">
        <v>10</v>
      </c>
      <c r="B13" s="16" t="inlineStr">
        <is>
          <t>PTC</t>
        </is>
      </c>
      <c r="C13" s="17" t="n">
        <v>25</v>
      </c>
      <c r="D13" s="15" t="inlineStr">
        <is>
          <t>다수 Bullish</t>
        </is>
      </c>
      <c r="E13" s="15" t="n">
        <v>2</v>
      </c>
      <c r="F13" s="15" t="n">
        <v>0</v>
      </c>
      <c r="G13" s="15" t="n">
        <v>1</v>
      </c>
      <c r="H13" s="18" t="n">
        <v>0.107</v>
      </c>
      <c r="I13" s="19" t="inlineStr">
        <is>
          <t>bearish(72)</t>
        </is>
      </c>
      <c r="J13" s="20" t="inlineStr">
        <is>
          <t>bullish(82)</t>
        </is>
      </c>
      <c r="K13" s="20" t="inlineStr">
        <is>
          <t>bullish(82)</t>
        </is>
      </c>
    </row>
    <row r="14">
      <c r="A14" s="15" t="n">
        <v>11</v>
      </c>
      <c r="B14" s="16" t="inlineStr">
        <is>
          <t>GOOGL</t>
        </is>
      </c>
      <c r="C14" s="17" t="n">
        <v>25</v>
      </c>
      <c r="D14" s="15" t="inlineStr">
        <is>
          <t>다수 Bullish</t>
        </is>
      </c>
      <c r="E14" s="15" t="n">
        <v>2</v>
      </c>
      <c r="F14" s="15" t="n">
        <v>0</v>
      </c>
      <c r="G14" s="15" t="n">
        <v>1</v>
      </c>
      <c r="H14" s="18" t="n">
        <v>0.101</v>
      </c>
      <c r="I14" s="19" t="inlineStr">
        <is>
          <t>bearish(72)</t>
        </is>
      </c>
      <c r="J14" s="20" t="inlineStr">
        <is>
          <t>bullish(82)</t>
        </is>
      </c>
      <c r="K14" s="20" t="inlineStr">
        <is>
          <t>bullish(82)</t>
        </is>
      </c>
    </row>
    <row r="15">
      <c r="A15" s="21" t="n">
        <v>12</v>
      </c>
      <c r="B15" s="22" t="inlineStr">
        <is>
          <t>PAYC</t>
        </is>
      </c>
      <c r="C15" s="23" t="n">
        <v>22.7</v>
      </c>
      <c r="D15" s="21" t="inlineStr">
        <is>
          <t>의견 분열</t>
        </is>
      </c>
      <c r="E15" s="21" t="n">
        <v>1</v>
      </c>
      <c r="F15" s="21" t="n">
        <v>2</v>
      </c>
      <c r="G15" s="21" t="n">
        <v>0</v>
      </c>
      <c r="H15" s="24" t="n">
        <v>0.144</v>
      </c>
      <c r="I15" s="25" t="inlineStr">
        <is>
          <t>neutral(60)</t>
        </is>
      </c>
      <c r="J15" s="26" t="inlineStr">
        <is>
          <t>bullish(72)</t>
        </is>
      </c>
      <c r="K15" s="25" t="inlineStr">
        <is>
          <t>neutral(68)</t>
        </is>
      </c>
    </row>
    <row r="16">
      <c r="A16" s="21" t="n">
        <v>13</v>
      </c>
      <c r="B16" s="22" t="inlineStr">
        <is>
          <t>ALL</t>
        </is>
      </c>
      <c r="C16" s="23" t="n">
        <v>16.8</v>
      </c>
      <c r="D16" s="21" t="inlineStr">
        <is>
          <t>의견 분열</t>
        </is>
      </c>
      <c r="E16" s="21" t="n">
        <v>1</v>
      </c>
      <c r="F16" s="21" t="n">
        <v>1</v>
      </c>
      <c r="G16" s="21" t="n">
        <v>1</v>
      </c>
      <c r="H16" s="24" t="n">
        <v>0.147</v>
      </c>
      <c r="I16" s="26" t="inlineStr">
        <is>
          <t>bullish(75)</t>
        </is>
      </c>
      <c r="J16" s="25" t="inlineStr">
        <is>
          <t>neutral(60)</t>
        </is>
      </c>
      <c r="K16" s="27" t="inlineStr">
        <is>
          <t>bearish(35)</t>
        </is>
      </c>
    </row>
    <row r="17">
      <c r="A17" s="15" t="n">
        <v>14</v>
      </c>
      <c r="B17" s="16" t="inlineStr">
        <is>
          <t>DXCM</t>
        </is>
      </c>
      <c r="C17" s="17" t="n">
        <v>16.5</v>
      </c>
      <c r="D17" s="15" t="inlineStr">
        <is>
          <t>다수 Bullish</t>
        </is>
      </c>
      <c r="E17" s="15" t="n">
        <v>2</v>
      </c>
      <c r="F17" s="15" t="n">
        <v>0</v>
      </c>
      <c r="G17" s="15" t="n">
        <v>1</v>
      </c>
      <c r="H17" s="18" t="n">
        <v>0.103</v>
      </c>
      <c r="I17" s="19" t="inlineStr">
        <is>
          <t>bearish(88)</t>
        </is>
      </c>
      <c r="J17" s="20" t="inlineStr">
        <is>
          <t>bullish(78)</t>
        </is>
      </c>
      <c r="K17" s="20" t="inlineStr">
        <is>
          <t>bullish(78)</t>
        </is>
      </c>
    </row>
    <row r="18">
      <c r="A18" s="21" t="n">
        <v>15</v>
      </c>
      <c r="B18" s="22" t="inlineStr">
        <is>
          <t>CINF</t>
        </is>
      </c>
      <c r="C18" s="23" t="n">
        <v>11.1</v>
      </c>
      <c r="D18" s="21" t="inlineStr">
        <is>
          <t>의견 분열</t>
        </is>
      </c>
      <c r="E18" s="21" t="n">
        <v>1</v>
      </c>
      <c r="F18" s="21" t="n">
        <v>1</v>
      </c>
      <c r="G18" s="21" t="n">
        <v>1</v>
      </c>
      <c r="H18" s="24" t="n">
        <v>0.123</v>
      </c>
      <c r="I18" s="26" t="inlineStr">
        <is>
          <t>bullish(81)</t>
        </is>
      </c>
      <c r="J18" s="25" t="inlineStr">
        <is>
          <t>neutral(60)</t>
        </is>
      </c>
      <c r="K18" s="27" t="inlineStr">
        <is>
          <t>bearish(60)</t>
        </is>
      </c>
    </row>
    <row r="19">
      <c r="A19" s="21" t="n">
        <v>16</v>
      </c>
      <c r="B19" s="22" t="inlineStr">
        <is>
          <t>AFL</t>
        </is>
      </c>
      <c r="C19" s="23" t="n">
        <v>10.6</v>
      </c>
      <c r="D19" s="21" t="inlineStr">
        <is>
          <t>의견 분열</t>
        </is>
      </c>
      <c r="E19" s="21" t="n">
        <v>1</v>
      </c>
      <c r="F19" s="21" t="n">
        <v>1</v>
      </c>
      <c r="G19" s="21" t="n">
        <v>1</v>
      </c>
      <c r="H19" s="24" t="n">
        <v>0.127</v>
      </c>
      <c r="I19" s="26" t="inlineStr">
        <is>
          <t>bullish(78)</t>
        </is>
      </c>
      <c r="J19" s="25" t="inlineStr">
        <is>
          <t>neutral(62)</t>
        </is>
      </c>
      <c r="K19" s="27" t="inlineStr">
        <is>
          <t>bearish(58)</t>
        </is>
      </c>
    </row>
    <row r="20">
      <c r="A20" s="28" t="n">
        <v>17</v>
      </c>
      <c r="B20" s="29" t="inlineStr">
        <is>
          <t>LRCX</t>
        </is>
      </c>
      <c r="C20" s="30" t="n">
        <v>0</v>
      </c>
      <c r="D20" s="28" t="inlineStr">
        <is>
          <t>전원 중립</t>
        </is>
      </c>
      <c r="E20" s="28" t="n">
        <v>0</v>
      </c>
      <c r="F20" s="28" t="n">
        <v>3</v>
      </c>
      <c r="G20" s="28" t="n">
        <v>0</v>
      </c>
      <c r="H20" s="31" t="n">
        <v>0.129</v>
      </c>
      <c r="I20" s="32" t="inlineStr">
        <is>
          <t>neutral(45)</t>
        </is>
      </c>
      <c r="J20" s="32" t="inlineStr">
        <is>
          <t>neutral(55)</t>
        </is>
      </c>
      <c r="K20" s="32" t="inlineStr">
        <is>
          <t>neutral(62)</t>
        </is>
      </c>
    </row>
    <row r="21">
      <c r="A21" s="28" t="n">
        <v>18</v>
      </c>
      <c r="B21" s="29" t="inlineStr">
        <is>
          <t>OKE</t>
        </is>
      </c>
      <c r="C21" s="30" t="n">
        <v>0</v>
      </c>
      <c r="D21" s="28" t="inlineStr">
        <is>
          <t>전원 중립</t>
        </is>
      </c>
      <c r="E21" s="28" t="n">
        <v>0</v>
      </c>
      <c r="F21" s="28" t="n">
        <v>3</v>
      </c>
      <c r="G21" s="28" t="n">
        <v>0</v>
      </c>
      <c r="H21" s="31" t="n">
        <v>0.109</v>
      </c>
      <c r="I21" s="32" t="inlineStr">
        <is>
          <t>neutral(58)</t>
        </is>
      </c>
      <c r="J21" s="32" t="inlineStr">
        <is>
          <t>neutral(55)</t>
        </is>
      </c>
      <c r="K21" s="32" t="inlineStr">
        <is>
          <t>neutral(55)</t>
        </is>
      </c>
    </row>
    <row r="22">
      <c r="A22" s="21" t="n">
        <v>19</v>
      </c>
      <c r="B22" s="22" t="inlineStr">
        <is>
          <t>APH</t>
        </is>
      </c>
      <c r="C22" s="33" t="n">
        <v>-5.8</v>
      </c>
      <c r="D22" s="21" t="inlineStr">
        <is>
          <t>의견 분열</t>
        </is>
      </c>
      <c r="E22" s="21" t="n">
        <v>1</v>
      </c>
      <c r="F22" s="21" t="n">
        <v>1</v>
      </c>
      <c r="G22" s="21" t="n">
        <v>1</v>
      </c>
      <c r="H22" s="24" t="n">
        <v>0.091</v>
      </c>
      <c r="I22" s="27" t="inlineStr">
        <is>
          <t>bearish(88)</t>
        </is>
      </c>
      <c r="J22" s="25" t="inlineStr">
        <is>
          <t>neutral(65)</t>
        </is>
      </c>
      <c r="K22" s="26" t="inlineStr">
        <is>
          <t>bullish(85)</t>
        </is>
      </c>
    </row>
    <row r="23">
      <c r="A23" s="21" t="n">
        <v>20</v>
      </c>
      <c r="B23" s="22" t="inlineStr">
        <is>
          <t>MU</t>
        </is>
      </c>
      <c r="C23" s="33" t="n">
        <v>-6.2</v>
      </c>
      <c r="D23" s="21" t="inlineStr">
        <is>
          <t>의견 분열</t>
        </is>
      </c>
      <c r="E23" s="21" t="n">
        <v>1</v>
      </c>
      <c r="F23" s="21" t="n">
        <v>1</v>
      </c>
      <c r="G23" s="21" t="n">
        <v>1</v>
      </c>
      <c r="H23" s="24" t="n">
        <v>0.135</v>
      </c>
      <c r="I23" s="27" t="inlineStr">
        <is>
          <t>bearish(78)</t>
        </is>
      </c>
      <c r="J23" s="25" t="inlineStr">
        <is>
          <t>neutral(58)</t>
        </is>
      </c>
      <c r="K23" s="26" t="inlineStr">
        <is>
          <t>bullish(72)</t>
        </is>
      </c>
    </row>
    <row r="24">
      <c r="A24" s="21" t="n">
        <v>21</v>
      </c>
      <c r="B24" s="22" t="inlineStr">
        <is>
          <t>PYPL</t>
        </is>
      </c>
      <c r="C24" s="33" t="n">
        <v>-20.5</v>
      </c>
      <c r="D24" s="21" t="inlineStr">
        <is>
          <t>의견 분열</t>
        </is>
      </c>
      <c r="E24" s="21" t="n">
        <v>0</v>
      </c>
      <c r="F24" s="21" t="n">
        <v>2</v>
      </c>
      <c r="G24" s="21" t="n">
        <v>1</v>
      </c>
      <c r="H24" s="24" t="n">
        <v>0.099</v>
      </c>
      <c r="I24" s="25" t="inlineStr">
        <is>
          <t>neutral(65)</t>
        </is>
      </c>
      <c r="J24" s="25" t="inlineStr">
        <is>
          <t>neutral(58)</t>
        </is>
      </c>
      <c r="K24" s="27" t="inlineStr">
        <is>
          <t>bearish(65)</t>
        </is>
      </c>
    </row>
    <row r="25">
      <c r="A25" s="21" t="n">
        <v>22</v>
      </c>
      <c r="B25" s="22" t="inlineStr">
        <is>
          <t>BMY</t>
        </is>
      </c>
      <c r="C25" s="33" t="n">
        <v>-22.4</v>
      </c>
      <c r="D25" s="21" t="inlineStr">
        <is>
          <t>의견 분열</t>
        </is>
      </c>
      <c r="E25" s="21" t="n">
        <v>0</v>
      </c>
      <c r="F25" s="21" t="n">
        <v>2</v>
      </c>
      <c r="G25" s="21" t="n">
        <v>1</v>
      </c>
      <c r="H25" s="24" t="n">
        <v>0.105</v>
      </c>
      <c r="I25" s="25" t="inlineStr">
        <is>
          <t>neutral(45)</t>
        </is>
      </c>
      <c r="J25" s="25" t="inlineStr">
        <is>
          <t>neutral(48)</t>
        </is>
      </c>
      <c r="K25" s="27" t="inlineStr">
        <is>
          <t>bearish(71)</t>
        </is>
      </c>
    </row>
    <row r="26">
      <c r="A26" s="21" t="n">
        <v>23</v>
      </c>
      <c r="B26" s="22" t="inlineStr">
        <is>
          <t>CF</t>
        </is>
      </c>
      <c r="C26" s="33" t="n">
        <v>-23.6</v>
      </c>
      <c r="D26" s="21" t="inlineStr">
        <is>
          <t>의견 분열</t>
        </is>
      </c>
      <c r="E26" s="21" t="n">
        <v>0</v>
      </c>
      <c r="F26" s="21" t="n">
        <v>2</v>
      </c>
      <c r="G26" s="21" t="n">
        <v>1</v>
      </c>
      <c r="H26" s="24" t="n">
        <v>0.181</v>
      </c>
      <c r="I26" s="25" t="inlineStr">
        <is>
          <t>neutral(50)</t>
        </is>
      </c>
      <c r="J26" s="25" t="inlineStr">
        <is>
          <t>neutral(45)</t>
        </is>
      </c>
      <c r="K26" s="27" t="inlineStr">
        <is>
          <t>bearish(75)</t>
        </is>
      </c>
    </row>
    <row r="27">
      <c r="A27" s="21" t="n">
        <v>24</v>
      </c>
      <c r="B27" s="22" t="inlineStr">
        <is>
          <t>IVZ</t>
        </is>
      </c>
      <c r="C27" s="33" t="n">
        <v>-26.7</v>
      </c>
      <c r="D27" s="21" t="inlineStr">
        <is>
          <t>의견 분열</t>
        </is>
      </c>
      <c r="E27" s="21" t="n">
        <v>0</v>
      </c>
      <c r="F27" s="21" t="n">
        <v>2</v>
      </c>
      <c r="G27" s="21" t="n">
        <v>1</v>
      </c>
      <c r="H27" s="24" t="n">
        <v>0.111</v>
      </c>
      <c r="I27" s="27" t="inlineStr">
        <is>
          <t>bearish(72)</t>
        </is>
      </c>
      <c r="J27" s="25" t="inlineStr">
        <is>
          <t>neutral(48)</t>
        </is>
      </c>
      <c r="K27" s="25" t="inlineStr">
        <is>
          <t>neutral(42)</t>
        </is>
      </c>
    </row>
    <row r="28">
      <c r="A28" s="34" t="n">
        <v>25</v>
      </c>
      <c r="B28" s="35" t="inlineStr">
        <is>
          <t>MPWR</t>
        </is>
      </c>
      <c r="C28" s="36" t="n">
        <v>-27.9</v>
      </c>
      <c r="D28" s="34" t="inlineStr">
        <is>
          <t>다수 Bearish</t>
        </is>
      </c>
      <c r="E28" s="34" t="n">
        <v>1</v>
      </c>
      <c r="F28" s="34" t="n">
        <v>0</v>
      </c>
      <c r="G28" s="34" t="n">
        <v>2</v>
      </c>
      <c r="H28" s="37" t="n">
        <v>0.09699999999999999</v>
      </c>
      <c r="I28" s="38" t="inlineStr">
        <is>
          <t>bearish(78)</t>
        </is>
      </c>
      <c r="J28" s="38" t="inlineStr">
        <is>
          <t>bearish(71)</t>
        </is>
      </c>
      <c r="K28" s="39" t="inlineStr">
        <is>
          <t>bullish(74)</t>
        </is>
      </c>
    </row>
    <row r="29">
      <c r="A29" s="21" t="n">
        <v>26</v>
      </c>
      <c r="B29" s="22" t="inlineStr">
        <is>
          <t>FSLR</t>
        </is>
      </c>
      <c r="C29" s="33" t="n">
        <v>-30.4</v>
      </c>
      <c r="D29" s="21" t="inlineStr">
        <is>
          <t>의견 분열</t>
        </is>
      </c>
      <c r="E29" s="21" t="n">
        <v>0</v>
      </c>
      <c r="F29" s="21" t="n">
        <v>2</v>
      </c>
      <c r="G29" s="21" t="n">
        <v>1</v>
      </c>
      <c r="H29" s="24" t="n">
        <v>0.117</v>
      </c>
      <c r="I29" s="27" t="inlineStr">
        <is>
          <t>bearish(82)</t>
        </is>
      </c>
      <c r="J29" s="25" t="inlineStr">
        <is>
          <t>neutral(62)</t>
        </is>
      </c>
      <c r="K29" s="25" t="inlineStr">
        <is>
          <t>neutral(61)</t>
        </is>
      </c>
    </row>
    <row r="30">
      <c r="A30" s="34" t="n">
        <v>27</v>
      </c>
      <c r="B30" s="35" t="inlineStr">
        <is>
          <t>VZ</t>
        </is>
      </c>
      <c r="C30" s="36" t="n">
        <v>-45.3</v>
      </c>
      <c r="D30" s="34" t="inlineStr">
        <is>
          <t>강한 Bearish</t>
        </is>
      </c>
      <c r="E30" s="34" t="n">
        <v>0</v>
      </c>
      <c r="F30" s="34" t="n">
        <v>1</v>
      </c>
      <c r="G30" s="34" t="n">
        <v>2</v>
      </c>
      <c r="H30" s="37" t="n">
        <v>0.095</v>
      </c>
      <c r="I30" s="40" t="inlineStr">
        <is>
          <t>neutral(52)</t>
        </is>
      </c>
      <c r="J30" s="38" t="inlineStr">
        <is>
          <t>bearish(72)</t>
        </is>
      </c>
      <c r="K30" s="38" t="inlineStr">
        <is>
          <t>bearish(72)</t>
        </is>
      </c>
    </row>
    <row r="31">
      <c r="A31" s="34" t="n">
        <v>28</v>
      </c>
      <c r="B31" s="35" t="inlineStr">
        <is>
          <t>NEM</t>
        </is>
      </c>
      <c r="C31" s="36" t="n">
        <v>-54.6</v>
      </c>
      <c r="D31" s="34" t="inlineStr">
        <is>
          <t>강한 Bearish</t>
        </is>
      </c>
      <c r="E31" s="34" t="n">
        <v>0</v>
      </c>
      <c r="F31" s="34" t="n">
        <v>1</v>
      </c>
      <c r="G31" s="34" t="n">
        <v>2</v>
      </c>
      <c r="H31" s="37" t="n">
        <v>0.121</v>
      </c>
      <c r="I31" s="38" t="inlineStr">
        <is>
          <t>bearish(88)</t>
        </is>
      </c>
      <c r="J31" s="38" t="inlineStr">
        <is>
          <t>bearish(70)</t>
        </is>
      </c>
      <c r="K31" s="40" t="inlineStr">
        <is>
          <t>neutral(50)</t>
        </is>
      </c>
    </row>
    <row r="32">
      <c r="A32" s="34" t="n">
        <v>29</v>
      </c>
      <c r="B32" s="35" t="inlineStr">
        <is>
          <t>CTRA</t>
        </is>
      </c>
      <c r="C32" s="36" t="n">
        <v>-72.2</v>
      </c>
      <c r="D32" s="34" t="inlineStr">
        <is>
          <t>만장일치 Bearish</t>
        </is>
      </c>
      <c r="E32" s="34" t="n">
        <v>0</v>
      </c>
      <c r="F32" s="34" t="n">
        <v>0</v>
      </c>
      <c r="G32" s="34" t="n">
        <v>3</v>
      </c>
      <c r="H32" s="37" t="n">
        <v>0.14</v>
      </c>
      <c r="I32" s="38" t="inlineStr">
        <is>
          <t>bearish(70)</t>
        </is>
      </c>
      <c r="J32" s="38" t="inlineStr">
        <is>
          <t>bearish(65)</t>
        </is>
      </c>
      <c r="K32" s="38" t="inlineStr">
        <is>
          <t>bearish(82)</t>
        </is>
      </c>
    </row>
    <row r="33">
      <c r="A33" s="34" t="n">
        <v>30</v>
      </c>
      <c r="B33" s="35" t="inlineStr">
        <is>
          <t>MOS</t>
        </is>
      </c>
      <c r="C33" s="36" t="n">
        <v>-78.09999999999999</v>
      </c>
      <c r="D33" s="34" t="inlineStr">
        <is>
          <t>만장일치 Bearish</t>
        </is>
      </c>
      <c r="E33" s="34" t="n">
        <v>0</v>
      </c>
      <c r="F33" s="34" t="n">
        <v>0</v>
      </c>
      <c r="G33" s="34" t="n">
        <v>3</v>
      </c>
      <c r="H33" s="37" t="n">
        <v>0.161</v>
      </c>
      <c r="I33" s="38" t="inlineStr">
        <is>
          <t>bearish(75)</t>
        </is>
      </c>
      <c r="J33" s="38" t="inlineStr">
        <is>
          <t>bearish(75)</t>
        </is>
      </c>
      <c r="K33" s="38" t="inlineStr">
        <is>
          <t>bearish(85)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55" customWidth="1" min="4" max="4"/>
  </cols>
  <sheetData>
    <row r="1">
      <c r="A1" s="1" t="inlineStr">
        <is>
          <t>Tier 분류 요약</t>
        </is>
      </c>
    </row>
    <row r="2">
      <c r="A2" s="3" t="inlineStr">
        <is>
          <t>Tier</t>
        </is>
      </c>
      <c r="B2" s="3" t="inlineStr">
        <is>
          <t>종목</t>
        </is>
      </c>
      <c r="C2" s="3" t="inlineStr">
        <is>
          <t>앙상블 점수</t>
        </is>
      </c>
      <c r="D2" s="3" t="inlineStr">
        <is>
          <t>설명</t>
        </is>
      </c>
    </row>
    <row r="3">
      <c r="A3" s="41" t="inlineStr">
        <is>
          <t>Tier 1: 만장일치 Bullish</t>
        </is>
      </c>
      <c r="B3" s="5" t="inlineStr">
        <is>
          <t>AMP</t>
        </is>
      </c>
      <c r="C3" s="6" t="n">
        <v>86.3</v>
      </c>
      <c r="D3" s="4" t="inlineStr">
        <is>
          <t>ROE 60%, Moat 5/5, MOS 25% - 3명 모두 매수</t>
        </is>
      </c>
    </row>
    <row r="4">
      <c r="A4" s="42" t="inlineStr"/>
      <c r="B4" s="5" t="inlineStr">
        <is>
          <t>ACGL</t>
        </is>
      </c>
      <c r="C4" s="6" t="n">
        <v>84.3</v>
      </c>
      <c r="D4" s="4" t="inlineStr">
        <is>
          <t>P/E 8.8, MOS 58%, FCF Yield 19% - 재보험 최강</t>
        </is>
      </c>
    </row>
    <row r="5">
      <c r="A5" s="42" t="inlineStr"/>
      <c r="B5" s="5" t="inlineStr">
        <is>
          <t>PGR</t>
        </is>
      </c>
      <c r="C5" s="6" t="n">
        <v>83</v>
      </c>
      <c r="D5" s="4" t="inlineStr">
        <is>
          <t>ROE 34%, D/E 0.19, 디지털 보험 혁신 리더</t>
        </is>
      </c>
    </row>
    <row r="6">
      <c r="A6" s="43" t="inlineStr">
        <is>
          <t>Tier 2: 강한 Bullish</t>
        </is>
      </c>
      <c r="B6" s="10" t="inlineStr">
        <is>
          <t>HIG</t>
        </is>
      </c>
      <c r="C6" s="11" t="n">
        <v>59.9</v>
      </c>
      <c r="D6" s="9" t="inlineStr">
        <is>
          <t>ROE 20%, PEG 0.26, Buffett 92% 확신</t>
        </is>
      </c>
    </row>
    <row r="7">
      <c r="A7" s="44" t="inlineStr"/>
      <c r="B7" s="10" t="inlineStr">
        <is>
          <t>TRV</t>
        </is>
      </c>
      <c r="C7" s="11" t="n">
        <v>56</v>
      </c>
      <c r="D7" s="9" t="inlineStr">
        <is>
          <t>Float 활용, PEG 0.52, FCF $10.4B</t>
        </is>
      </c>
    </row>
    <row r="8">
      <c r="A8" s="44" t="inlineStr"/>
      <c r="B8" s="10" t="inlineStr">
        <is>
          <t>GL</t>
        </is>
      </c>
      <c r="C8" s="11" t="n">
        <v>54.9</v>
      </c>
      <c r="D8" s="9" t="inlineStr">
        <is>
          <t>Moat 5/5, CapEx 1.2%, FCF Yield 12.5%</t>
        </is>
      </c>
    </row>
    <row r="9">
      <c r="A9" s="44" t="inlineStr"/>
      <c r="B9" s="10" t="inlineStr">
        <is>
          <t>SYF</t>
        </is>
      </c>
      <c r="C9" s="11" t="n">
        <v>53.4</v>
      </c>
      <c r="D9" s="9" t="inlineStr">
        <is>
          <t>PEG 0.22, MOS 45%, 소비자금융 회복</t>
        </is>
      </c>
    </row>
    <row r="10">
      <c r="A10" s="44" t="inlineStr"/>
      <c r="B10" s="10" t="inlineStr">
        <is>
          <t>MRK</t>
        </is>
      </c>
      <c r="C10" s="11" t="n">
        <v>50.4</v>
      </c>
      <c r="D10" s="9" t="inlineStr">
        <is>
          <t>R&amp;D 28%, Keytruda, 영업마진 40.8%</t>
        </is>
      </c>
    </row>
    <row r="11">
      <c r="A11" s="44" t="inlineStr"/>
      <c r="B11" s="10" t="inlineStr">
        <is>
          <t>INCY</t>
        </is>
      </c>
      <c r="C11" s="11" t="n">
        <v>47.2</v>
      </c>
      <c r="D11" s="9" t="inlineStr">
        <is>
          <t>R&amp;D 62%, 무부채, ROE 30%, 매출 성장 20%</t>
        </is>
      </c>
    </row>
    <row r="12">
      <c r="A12" s="45" t="inlineStr">
        <is>
          <t>Tier 3: 다수 Bullish</t>
        </is>
      </c>
      <c r="B12" s="16" t="inlineStr">
        <is>
          <t>PTC</t>
        </is>
      </c>
      <c r="C12" s="17" t="n">
        <v>25</v>
      </c>
      <c r="D12" s="15" t="inlineStr">
        <is>
          <t>SaaS 영업마진 50%, R&amp;D 16.7% (밸류에이션 논쟁)</t>
        </is>
      </c>
    </row>
    <row r="13">
      <c r="A13" s="46" t="inlineStr"/>
      <c r="B13" s="16" t="inlineStr">
        <is>
          <t>GOOGL</t>
        </is>
      </c>
      <c r="C13" s="17" t="n">
        <v>25</v>
      </c>
      <c r="D13" s="15" t="inlineStr">
        <is>
          <t>AI 리더, R&amp;D 14.1%, PEG 1.0 (밸류에이션 논쟁)</t>
        </is>
      </c>
    </row>
    <row r="14">
      <c r="A14" s="46" t="inlineStr"/>
      <c r="B14" s="16" t="inlineStr">
        <is>
          <t>DXCM</t>
        </is>
      </c>
      <c r="C14" s="17" t="n">
        <v>16.5</v>
      </c>
      <c r="D14" s="15" t="inlineStr">
        <is>
          <t>CGM 시장 리더, R&amp;D 14%, ROE 31% (밸류에이션 논쟁)</t>
        </is>
      </c>
    </row>
    <row r="15">
      <c r="A15" s="47" t="inlineStr">
        <is>
          <t>Tier 4: 의견 분열</t>
        </is>
      </c>
      <c r="B15" s="22" t="inlineStr">
        <is>
          <t>PAYC</t>
        </is>
      </c>
      <c r="C15" s="23" t="n">
        <v>22.7</v>
      </c>
      <c r="D15" s="21" t="inlineStr">
        <is>
          <t>HR SaaS 성장주, R&amp;D 12.9%, 마진 개선 중</t>
        </is>
      </c>
    </row>
    <row r="16">
      <c r="A16" s="48" t="inlineStr"/>
      <c r="B16" s="22" t="inlineStr">
        <is>
          <t>ALL</t>
        </is>
      </c>
      <c r="C16" s="23" t="n">
        <v>16.8</v>
      </c>
      <c r="D16" s="21" t="inlineStr">
        <is>
          <t>보험 회복, Buffett bullish / Fisher bearish</t>
        </is>
      </c>
    </row>
    <row r="17">
      <c r="A17" s="48" t="inlineStr"/>
      <c r="B17" s="22" t="inlineStr">
        <is>
          <t>CINF</t>
        </is>
      </c>
      <c r="C17" s="23" t="n">
        <v>11.1</v>
      </c>
      <c r="D17" s="21" t="inlineStr">
        <is>
          <t>보수적 보험사, D/E 0.057, 성장성 부족</t>
        </is>
      </c>
    </row>
    <row r="18">
      <c r="A18" s="48" t="inlineStr"/>
      <c r="B18" s="22" t="inlineStr">
        <is>
          <t>AFL</t>
        </is>
      </c>
      <c r="C18" s="23" t="n">
        <v>10.6</v>
      </c>
      <c r="D18" s="21" t="inlineStr">
        <is>
          <t>보충보험, 배당 2.25%, 매출 감소 추세</t>
        </is>
      </c>
    </row>
    <row r="19">
      <c r="A19" s="49" t="inlineStr">
        <is>
          <t>Tier 5: 전원 중립</t>
        </is>
      </c>
      <c r="B19" s="29" t="inlineStr">
        <is>
          <t>LRCX</t>
        </is>
      </c>
      <c r="C19" s="30" t="n">
        <v>0</v>
      </c>
      <c r="D19" s="28" t="inlineStr">
        <is>
          <t>반도체 장비, 사이클 불확실성</t>
        </is>
      </c>
    </row>
    <row r="20">
      <c r="A20" s="50" t="inlineStr"/>
      <c r="B20" s="29" t="inlineStr">
        <is>
          <t>OKE</t>
        </is>
      </c>
      <c r="C20" s="30" t="n">
        <v>0</v>
      </c>
      <c r="D20" s="28" t="inlineStr">
        <is>
          <t>천연가스 인프라, 높은 부채 D/E 1.52</t>
        </is>
      </c>
    </row>
    <row r="21">
      <c r="A21" s="51" t="inlineStr">
        <is>
          <t>Tier 6: Bearish</t>
        </is>
      </c>
      <c r="B21" s="35" t="inlineStr">
        <is>
          <t>MPWR</t>
        </is>
      </c>
      <c r="C21" s="36" t="n">
        <v>-27.9</v>
      </c>
      <c r="D21" s="34" t="inlineStr">
        <is>
          <t>비정상 순이익(81% 마진), 극단적 과대평가</t>
        </is>
      </c>
    </row>
    <row r="22">
      <c r="A22" s="52" t="inlineStr"/>
      <c r="B22" s="35" t="inlineStr">
        <is>
          <t>VZ</t>
        </is>
      </c>
      <c r="C22" s="36" t="n">
        <v>-45.3</v>
      </c>
      <c r="D22" s="34" t="inlineStr">
        <is>
          <t>매출 정체 0.3%, D/E 1.65, 성장 부재</t>
        </is>
      </c>
    </row>
    <row r="23">
      <c r="A23" s="52" t="inlineStr"/>
      <c r="B23" s="35" t="inlineStr">
        <is>
          <t>NEM</t>
        </is>
      </c>
      <c r="C23" s="36" t="n">
        <v>-54.6</v>
      </c>
      <c r="D23" s="34" t="inlineStr">
        <is>
          <t>금 가격 의존, MOS -550%, 해자 없음</t>
        </is>
      </c>
    </row>
    <row r="24">
      <c r="A24" s="52" t="inlineStr"/>
      <c r="B24" s="35" t="inlineStr">
        <is>
          <t>CTRA</t>
        </is>
      </c>
      <c r="C24" s="36" t="n">
        <v>-72.2</v>
      </c>
      <c r="D24" s="34" t="inlineStr">
        <is>
          <t>에너지 사이클, R&amp;D 없음, 마진 3년 연속 하락</t>
        </is>
      </c>
    </row>
    <row r="25">
      <c r="A25" s="52" t="inlineStr"/>
      <c r="B25" s="35" t="inlineStr">
        <is>
          <t>MOS</t>
        </is>
      </c>
      <c r="C25" s="36" t="n">
        <v>-78.09999999999999</v>
      </c>
      <c r="D25" s="34" t="inlineStr">
        <is>
          <t>수익 95% 붕괴, 가치 함정의 전형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8" customWidth="1" min="4" max="4"/>
    <col width="12" customWidth="1" min="5" max="5"/>
    <col width="13" customWidth="1" min="6" max="6"/>
    <col width="12" customWidth="1" min="7" max="7"/>
    <col width="48" customWidth="1" min="8" max="8"/>
  </cols>
  <sheetData>
    <row r="1">
      <c r="A1" s="1" t="inlineStr">
        <is>
          <t>최적 포트폴리오 구성 (12종목 + 현금)</t>
        </is>
      </c>
    </row>
    <row r="2">
      <c r="A2" s="3" t="inlineStr">
        <is>
          <t>카테고리</t>
        </is>
      </c>
      <c r="B2" s="3" t="inlineStr">
        <is>
          <t>종목</t>
        </is>
      </c>
      <c r="C2" s="3" t="inlineStr">
        <is>
          <t>비중(%)</t>
        </is>
      </c>
      <c r="D2" s="3" t="inlineStr">
        <is>
          <t>Tier</t>
        </is>
      </c>
      <c r="E2" s="3" t="inlineStr">
        <is>
          <t>앙상블 점수</t>
        </is>
      </c>
      <c r="F2" s="3" t="inlineStr">
        <is>
          <t>퀀트 수익률</t>
        </is>
      </c>
      <c r="G2" s="3" t="inlineStr">
        <is>
          <t>섹터</t>
        </is>
      </c>
      <c r="H2" s="3" t="inlineStr">
        <is>
          <t>투자 근거</t>
        </is>
      </c>
    </row>
    <row r="3">
      <c r="A3" s="41" t="inlineStr">
        <is>
          <t>Core Holdings (50%)</t>
        </is>
      </c>
      <c r="B3" s="5" t="inlineStr">
        <is>
          <t>AMP</t>
        </is>
      </c>
      <c r="C3" s="53" t="n">
        <v>0.1</v>
      </c>
      <c r="D3" s="4" t="inlineStr">
        <is>
          <t>Tier 1</t>
        </is>
      </c>
      <c r="E3" s="6" t="n">
        <v>86.3</v>
      </c>
      <c r="F3" s="54" t="n">
        <v>0.09300000000000001</v>
      </c>
      <c r="G3" s="4" t="inlineStr">
        <is>
          <t>자산관리</t>
        </is>
      </c>
      <c r="H3" s="4" t="inlineStr">
        <is>
          <t>ROE 60%, Moat 5/5, MOS 25%</t>
        </is>
      </c>
    </row>
    <row r="4">
      <c r="A4" s="42" t="inlineStr"/>
      <c r="B4" s="5" t="inlineStr">
        <is>
          <t>ACGL</t>
        </is>
      </c>
      <c r="C4" s="53" t="n">
        <v>0.1</v>
      </c>
      <c r="D4" s="4" t="inlineStr">
        <is>
          <t>Tier 1</t>
        </is>
      </c>
      <c r="E4" s="6" t="n">
        <v>84.3</v>
      </c>
      <c r="F4" s="54" t="n">
        <v>0.133</v>
      </c>
      <c r="G4" s="4" t="inlineStr">
        <is>
          <t>재보험</t>
        </is>
      </c>
      <c r="H4" s="4" t="inlineStr">
        <is>
          <t>P/E 8.8, MOS 58%, FCF Yield 19%</t>
        </is>
      </c>
    </row>
    <row r="5">
      <c r="A5" s="42" t="inlineStr"/>
      <c r="B5" s="5" t="inlineStr">
        <is>
          <t>PGR</t>
        </is>
      </c>
      <c r="C5" s="53" t="n">
        <v>0.1</v>
      </c>
      <c r="D5" s="4" t="inlineStr">
        <is>
          <t>Tier 1</t>
        </is>
      </c>
      <c r="E5" s="6" t="n">
        <v>83</v>
      </c>
      <c r="F5" s="54" t="n">
        <v>0.113</v>
      </c>
      <c r="G5" s="4" t="inlineStr">
        <is>
          <t>보험</t>
        </is>
      </c>
      <c r="H5" s="4" t="inlineStr">
        <is>
          <t>ROE 34%, D/E 0.19, 디지털 보험 혁신</t>
        </is>
      </c>
    </row>
    <row r="6">
      <c r="A6" s="42" t="inlineStr"/>
      <c r="B6" s="5" t="inlineStr">
        <is>
          <t>HIG</t>
        </is>
      </c>
      <c r="C6" s="53" t="n">
        <v>0.05</v>
      </c>
      <c r="D6" s="4" t="inlineStr">
        <is>
          <t>Tier 2</t>
        </is>
      </c>
      <c r="E6" s="6" t="n">
        <v>59.9</v>
      </c>
      <c r="F6" s="54" t="n">
        <v>0.137</v>
      </c>
      <c r="G6" s="4" t="inlineStr">
        <is>
          <t>보험</t>
        </is>
      </c>
      <c r="H6" s="4" t="inlineStr">
        <is>
          <t>ROE 20%, PEG 0.26, Buffett 92% 확신</t>
        </is>
      </c>
    </row>
    <row r="7">
      <c r="A7" s="42" t="inlineStr"/>
      <c r="B7" s="5" t="inlineStr">
        <is>
          <t>GL</t>
        </is>
      </c>
      <c r="C7" s="53" t="n">
        <v>0.05</v>
      </c>
      <c r="D7" s="4" t="inlineStr">
        <is>
          <t>Tier 2</t>
        </is>
      </c>
      <c r="E7" s="6" t="n">
        <v>54.9</v>
      </c>
      <c r="F7" s="54" t="n">
        <v>0.115</v>
      </c>
      <c r="G7" s="4" t="inlineStr">
        <is>
          <t>보험</t>
        </is>
      </c>
      <c r="H7" s="4" t="inlineStr">
        <is>
          <t>Moat 5/5, CapEx 1.2%, FCF Yield 12.5%</t>
        </is>
      </c>
    </row>
    <row r="8">
      <c r="A8" s="42" t="inlineStr"/>
      <c r="B8" s="5" t="inlineStr">
        <is>
          <t>TRV</t>
        </is>
      </c>
      <c r="C8" s="53" t="n">
        <v>0.05</v>
      </c>
      <c r="D8" s="4" t="inlineStr">
        <is>
          <t>Tier 2</t>
        </is>
      </c>
      <c r="E8" s="6" t="n">
        <v>56</v>
      </c>
      <c r="F8" s="54" t="n">
        <v>0.131</v>
      </c>
      <c r="G8" s="4" t="inlineStr">
        <is>
          <t>보험</t>
        </is>
      </c>
      <c r="H8" s="4" t="inlineStr">
        <is>
          <t>Float 활용, PEG 0.52, FCF $10.4B</t>
        </is>
      </c>
    </row>
    <row r="9">
      <c r="A9" s="42" t="inlineStr"/>
      <c r="B9" s="5" t="inlineStr">
        <is>
          <t>SYF</t>
        </is>
      </c>
      <c r="C9" s="53" t="n">
        <v>0.05</v>
      </c>
      <c r="D9" s="4" t="inlineStr">
        <is>
          <t>Tier 2</t>
        </is>
      </c>
      <c r="E9" s="6" t="n">
        <v>53.4</v>
      </c>
      <c r="F9" s="54" t="n">
        <v>0.125</v>
      </c>
      <c r="G9" s="4" t="inlineStr">
        <is>
          <t>소비자금융</t>
        </is>
      </c>
      <c r="H9" s="4" t="inlineStr">
        <is>
          <t>PEG 0.22, MOS 45%, 소비자금융 회복</t>
        </is>
      </c>
    </row>
    <row r="10">
      <c r="A10" s="43" t="inlineStr">
        <is>
          <t>Growth Holdings (25%)</t>
        </is>
      </c>
      <c r="B10" s="10" t="inlineStr">
        <is>
          <t>INCY</t>
        </is>
      </c>
      <c r="C10" s="55" t="n">
        <v>0.07000000000000001</v>
      </c>
      <c r="D10" s="9" t="inlineStr">
        <is>
          <t>Tier 2</t>
        </is>
      </c>
      <c r="E10" s="11" t="n">
        <v>47.2</v>
      </c>
      <c r="F10" s="56" t="n">
        <v>0.156</v>
      </c>
      <c r="G10" s="9" t="inlineStr">
        <is>
          <t>바이오제약</t>
        </is>
      </c>
      <c r="H10" s="9" t="inlineStr">
        <is>
          <t>R&amp;D 62%, 무부채, ROE 30%</t>
        </is>
      </c>
    </row>
    <row r="11">
      <c r="A11" s="44" t="inlineStr"/>
      <c r="B11" s="10" t="inlineStr">
        <is>
          <t>MRK</t>
        </is>
      </c>
      <c r="C11" s="55" t="n">
        <v>0.07000000000000001</v>
      </c>
      <c r="D11" s="9" t="inlineStr">
        <is>
          <t>Tier 2</t>
        </is>
      </c>
      <c r="E11" s="11" t="n">
        <v>50.4</v>
      </c>
      <c r="F11" s="56" t="n">
        <v>0.119</v>
      </c>
      <c r="G11" s="9" t="inlineStr">
        <is>
          <t>제약</t>
        </is>
      </c>
      <c r="H11" s="9" t="inlineStr">
        <is>
          <t>R&amp;D 28%, Keytruda, 영업마진 40.8%</t>
        </is>
      </c>
    </row>
    <row r="12">
      <c r="A12" s="44" t="inlineStr"/>
      <c r="B12" s="10" t="inlineStr">
        <is>
          <t>GOOGL</t>
        </is>
      </c>
      <c r="C12" s="55" t="n">
        <v>0.06</v>
      </c>
      <c r="D12" s="9" t="inlineStr">
        <is>
          <t>Tier 3</t>
        </is>
      </c>
      <c r="E12" s="11" t="n">
        <v>25</v>
      </c>
      <c r="F12" s="56" t="n">
        <v>0.101</v>
      </c>
      <c r="G12" s="9" t="inlineStr">
        <is>
          <t>기술</t>
        </is>
      </c>
      <c r="H12" s="9" t="inlineStr">
        <is>
          <t>AI 리더, R&amp;D 14.1%, PEG 1.0</t>
        </is>
      </c>
    </row>
    <row r="13">
      <c r="A13" s="44" t="inlineStr"/>
      <c r="B13" s="10" t="inlineStr">
        <is>
          <t>PTC</t>
        </is>
      </c>
      <c r="C13" s="55" t="n">
        <v>0.05</v>
      </c>
      <c r="D13" s="9" t="inlineStr">
        <is>
          <t>Tier 3</t>
        </is>
      </c>
      <c r="E13" s="11" t="n">
        <v>25</v>
      </c>
      <c r="F13" s="56" t="n">
        <v>0.107</v>
      </c>
      <c r="G13" s="9" t="inlineStr">
        <is>
          <t>소프트웨어</t>
        </is>
      </c>
      <c r="H13" s="9" t="inlineStr">
        <is>
          <t>SaaS, 영업마진 50%+, R&amp;D 16.7%</t>
        </is>
      </c>
    </row>
    <row r="14">
      <c r="A14" s="45" t="inlineStr">
        <is>
          <t>Tactical (10%)</t>
        </is>
      </c>
      <c r="B14" s="16" t="inlineStr">
        <is>
          <t>DXCM</t>
        </is>
      </c>
      <c r="C14" s="57" t="n">
        <v>0.05</v>
      </c>
      <c r="D14" s="15" t="inlineStr">
        <is>
          <t>Tier 3</t>
        </is>
      </c>
      <c r="E14" s="17" t="n">
        <v>16.5</v>
      </c>
      <c r="F14" s="58" t="n">
        <v>0.103</v>
      </c>
      <c r="G14" s="15" t="inlineStr">
        <is>
          <t>의료기기</t>
        </is>
      </c>
      <c r="H14" s="15" t="inlineStr">
        <is>
          <t>CGM 시장 리더, R&amp;D 14%, ROE 31%</t>
        </is>
      </c>
    </row>
    <row r="15">
      <c r="A15" s="46" t="inlineStr"/>
      <c r="B15" s="16" t="inlineStr">
        <is>
          <t>MU</t>
        </is>
      </c>
      <c r="C15" s="57" t="n">
        <v>0.05</v>
      </c>
      <c r="D15" s="15" t="inlineStr">
        <is>
          <t>Tier 4</t>
        </is>
      </c>
      <c r="E15" s="59" t="n">
        <v>-6.2</v>
      </c>
      <c r="F15" s="58" t="n">
        <v>0.135</v>
      </c>
      <c r="G15" s="15" t="inlineStr">
        <is>
          <t>반도체</t>
        </is>
      </c>
      <c r="H15" s="15" t="inlineStr">
        <is>
          <t>AI/HBM 수요, 사이클 플레이</t>
        </is>
      </c>
    </row>
    <row r="16">
      <c r="A16" s="49" t="inlineStr">
        <is>
          <t>Cash (15%)</t>
        </is>
      </c>
      <c r="B16" s="29" t="inlineStr">
        <is>
          <t>CASH</t>
        </is>
      </c>
      <c r="C16" s="60" t="n">
        <v>0.15</v>
      </c>
      <c r="D16" s="28" t="inlineStr">
        <is>
          <t>-</t>
        </is>
      </c>
      <c r="E16" s="30" t="n">
        <v>0</v>
      </c>
      <c r="F16" s="28" t="inlineStr">
        <is>
          <t>-</t>
        </is>
      </c>
      <c r="G16" s="28" t="inlineStr">
        <is>
          <t>-</t>
        </is>
      </c>
      <c r="H16" s="28" t="inlineStr">
        <is>
          <t>시장 조정 시 활용할 현금 보유</t>
        </is>
      </c>
    </row>
    <row r="17">
      <c r="A17" s="61" t="inlineStr">
        <is>
          <t>합계</t>
        </is>
      </c>
      <c r="B17" s="89" t="n"/>
      <c r="C17" s="62">
        <f>SUM(C3:C16)</f>
        <v/>
      </c>
      <c r="D17" s="61" t="n"/>
      <c r="E17" s="61" t="n"/>
      <c r="F17" s="61" t="n"/>
      <c r="G17" s="61" t="n"/>
      <c r="H17" s="61" t="n"/>
    </row>
  </sheetData>
  <mergeCells count="2">
    <mergeCell ref="A17:B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8" customWidth="1" min="5" max="5"/>
    <col width="55" customWidth="1" min="6" max="6"/>
  </cols>
  <sheetData>
    <row r="1">
      <c r="A1" s="1" t="inlineStr">
        <is>
          <t>퀀트 모델 vs 투자자 앙상블 분석 갭 (상위 10개 불일치)</t>
        </is>
      </c>
    </row>
    <row r="2">
      <c r="A2" s="2" t="inlineStr">
        <is>
          <t>양수 갭 = 질적 분석이 더 긍정적 (숨겨진 가치), 음수 갭 = 퀀트가 더 긍정적 (가치 함정 의심)</t>
        </is>
      </c>
    </row>
    <row r="3">
      <c r="A3" s="3" t="inlineStr">
        <is>
          <t>종목</t>
        </is>
      </c>
      <c r="B3" s="3" t="inlineStr">
        <is>
          <t>퀀트 순위</t>
        </is>
      </c>
      <c r="C3" s="3" t="inlineStr">
        <is>
          <t>질적 순위</t>
        </is>
      </c>
      <c r="D3" s="3" t="inlineStr">
        <is>
          <t>순위 갭</t>
        </is>
      </c>
      <c r="E3" s="3" t="inlineStr">
        <is>
          <t>방향</t>
        </is>
      </c>
      <c r="F3" s="3" t="inlineStr">
        <is>
          <t>해석</t>
        </is>
      </c>
    </row>
    <row r="4">
      <c r="A4" s="35" t="inlineStr">
        <is>
          <t>MOS</t>
        </is>
      </c>
      <c r="B4" s="34" t="n">
        <v>2</v>
      </c>
      <c r="C4" s="34" t="n">
        <v>30</v>
      </c>
      <c r="D4" s="63" t="n">
        <v>-28</v>
      </c>
      <c r="E4" s="64" t="inlineStr">
        <is>
          <t>퀀트 과대평가</t>
        </is>
      </c>
      <c r="F4" s="34" t="inlineStr">
        <is>
          <t>수익 95% 붕괴, 3명 모두 bearish - 전형적 가치 함정</t>
        </is>
      </c>
    </row>
    <row r="5">
      <c r="A5" s="5" t="inlineStr">
        <is>
          <t>AMP</t>
        </is>
      </c>
      <c r="B5" s="4" t="n">
        <v>29</v>
      </c>
      <c r="C5" s="4" t="n">
        <v>1</v>
      </c>
      <c r="D5" s="65" t="n">
        <v>28</v>
      </c>
      <c r="E5" s="66" t="inlineStr">
        <is>
          <t>질적 과소평가</t>
        </is>
      </c>
      <c r="F5" s="4" t="inlineStr">
        <is>
          <t>ROE 60%, 3명 만장일치 bullish - 숨겨진 보석</t>
        </is>
      </c>
    </row>
    <row r="6">
      <c r="A6" s="35" t="inlineStr">
        <is>
          <t>CTRA</t>
        </is>
      </c>
      <c r="B6" s="34" t="n">
        <v>6</v>
      </c>
      <c r="C6" s="34" t="n">
        <v>29</v>
      </c>
      <c r="D6" s="63" t="n">
        <v>-23</v>
      </c>
      <c r="E6" s="64" t="inlineStr">
        <is>
          <t>퀀트 과대평가</t>
        </is>
      </c>
      <c r="F6" s="34" t="inlineStr">
        <is>
          <t>에너지 사이클 하락, R&amp;D 없음, 마진 급락</t>
        </is>
      </c>
    </row>
    <row r="7">
      <c r="A7" s="35" t="inlineStr">
        <is>
          <t>CF</t>
        </is>
      </c>
      <c r="B7" s="34" t="n">
        <v>1</v>
      </c>
      <c r="C7" s="34" t="n">
        <v>23</v>
      </c>
      <c r="D7" s="63" t="n">
        <v>-22</v>
      </c>
      <c r="E7" s="64" t="inlineStr">
        <is>
          <t>퀀트 과대평가</t>
        </is>
      </c>
      <c r="F7" s="34" t="inlineStr">
        <is>
          <t>비료 사이클 하락, 수익 정상화 국면</t>
        </is>
      </c>
    </row>
    <row r="8">
      <c r="A8" s="5" t="inlineStr">
        <is>
          <t>PGR</t>
        </is>
      </c>
      <c r="B8" s="4" t="n">
        <v>19</v>
      </c>
      <c r="C8" s="4" t="n">
        <v>3</v>
      </c>
      <c r="D8" s="65" t="n">
        <v>16</v>
      </c>
      <c r="E8" s="66" t="inlineStr">
        <is>
          <t>질적 과소평가</t>
        </is>
      </c>
      <c r="F8" s="4" t="inlineStr">
        <is>
          <t>디지털 보험 리더, ROE 34%, 3명 만장일치 bullish</t>
        </is>
      </c>
    </row>
    <row r="9">
      <c r="A9" s="5" t="inlineStr">
        <is>
          <t>GOOGL</t>
        </is>
      </c>
      <c r="B9" s="4" t="n">
        <v>25</v>
      </c>
      <c r="C9" s="4" t="n">
        <v>11</v>
      </c>
      <c r="D9" s="65" t="n">
        <v>14</v>
      </c>
      <c r="E9" s="66" t="inlineStr">
        <is>
          <t>질적 과소평가</t>
        </is>
      </c>
      <c r="F9" s="4" t="inlineStr">
        <is>
          <t>AI 리더십, R&amp;D 14.1%, Lynch/Fisher bullish</t>
        </is>
      </c>
    </row>
    <row r="10">
      <c r="A10" s="35" t="inlineStr">
        <is>
          <t>NEM</t>
        </is>
      </c>
      <c r="B10" s="34" t="n">
        <v>15</v>
      </c>
      <c r="C10" s="34" t="n">
        <v>28</v>
      </c>
      <c r="D10" s="63" t="n">
        <v>-13</v>
      </c>
      <c r="E10" s="64" t="inlineStr">
        <is>
          <t>퀀트 과대평가</t>
        </is>
      </c>
      <c r="F10" s="34" t="inlineStr">
        <is>
          <t>금 가격 의존, 해자 없음, Buffett bearish(88)</t>
        </is>
      </c>
    </row>
    <row r="11">
      <c r="A11" s="35" t="inlineStr">
        <is>
          <t>MU</t>
        </is>
      </c>
      <c r="B11" s="34" t="n">
        <v>8</v>
      </c>
      <c r="C11" s="34" t="n">
        <v>20</v>
      </c>
      <c r="D11" s="63" t="n">
        <v>-12</v>
      </c>
      <c r="E11" s="64" t="inlineStr">
        <is>
          <t>퀀트 과대평가</t>
        </is>
      </c>
      <c r="F11" s="34" t="inlineStr">
        <is>
          <t>반도체 사이클 정점, Buffett bearish(78)</t>
        </is>
      </c>
    </row>
    <row r="12">
      <c r="A12" s="5" t="inlineStr">
        <is>
          <t>GL</t>
        </is>
      </c>
      <c r="B12" s="4" t="n">
        <v>18</v>
      </c>
      <c r="C12" s="4" t="n">
        <v>6</v>
      </c>
      <c r="D12" s="65" t="n">
        <v>12</v>
      </c>
      <c r="E12" s="66" t="inlineStr">
        <is>
          <t>질적 과소평가</t>
        </is>
      </c>
      <c r="F12" s="4" t="inlineStr">
        <is>
          <t>보험 딥밸류, Moat 5/5, Buffett bullish(87)</t>
        </is>
      </c>
    </row>
    <row r="13">
      <c r="A13" s="5" t="inlineStr">
        <is>
          <t>PTC</t>
        </is>
      </c>
      <c r="B13" s="4" t="n">
        <v>22</v>
      </c>
      <c r="C13" s="4" t="n">
        <v>10</v>
      </c>
      <c r="D13" s="65" t="n">
        <v>12</v>
      </c>
      <c r="E13" s="66" t="inlineStr">
        <is>
          <t>질적 과소평가</t>
        </is>
      </c>
      <c r="F13" s="4" t="inlineStr">
        <is>
          <t>소프트웨어 성장, 영업마진 50%+, R&amp;D 16.7%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포트폴리오 핵심 지표</t>
        </is>
      </c>
    </row>
    <row r="2">
      <c r="A2" s="3" t="inlineStr">
        <is>
          <t>항목</t>
        </is>
      </c>
      <c r="B2" s="3" t="inlineStr">
        <is>
          <t>값</t>
        </is>
      </c>
    </row>
    <row r="3">
      <c r="A3" s="67" t="inlineStr">
        <is>
          <t>총 종목 수</t>
        </is>
      </c>
      <c r="B3" s="68" t="inlineStr">
        <is>
          <t>12개</t>
        </is>
      </c>
    </row>
    <row r="4">
      <c r="A4" s="67" t="inlineStr">
        <is>
          <t>투자 비율</t>
        </is>
      </c>
      <c r="B4" s="68" t="inlineStr">
        <is>
          <t>85%</t>
        </is>
      </c>
    </row>
    <row r="5">
      <c r="A5" s="67" t="inlineStr">
        <is>
          <t>현금 비율</t>
        </is>
      </c>
      <c r="B5" s="68" t="inlineStr">
        <is>
          <t>15%</t>
        </is>
      </c>
    </row>
    <row r="6">
      <c r="A6" s="67" t="inlineStr">
        <is>
          <t>가중평균 앙상블 점수</t>
        </is>
      </c>
      <c r="B6" s="68" t="inlineStr">
        <is>
          <t>+54.2</t>
        </is>
      </c>
    </row>
    <row r="7">
      <c r="A7" s="67" t="inlineStr">
        <is>
          <t>가중평균 퀀트 예상 수익률</t>
        </is>
      </c>
      <c r="B7" s="68" t="inlineStr">
        <is>
          <t>+11.8%</t>
        </is>
      </c>
    </row>
    <row r="8">
      <c r="A8" s="67" t="inlineStr"/>
      <c r="B8" s="68" t="inlineStr"/>
    </row>
    <row r="9">
      <c r="A9" s="69" t="inlineStr">
        <is>
          <t>Tier별 비중</t>
        </is>
      </c>
      <c r="B9" s="89" t="n"/>
    </row>
    <row r="10">
      <c r="A10" s="67" t="inlineStr">
        <is>
          <t>Tier 1 (만장일치 Bullish)</t>
        </is>
      </c>
      <c r="B10" s="68" t="inlineStr">
        <is>
          <t>30%</t>
        </is>
      </c>
    </row>
    <row r="11">
      <c r="A11" s="67" t="inlineStr">
        <is>
          <t>Tier 2 (강한 Bullish)</t>
        </is>
      </c>
      <c r="B11" s="68" t="inlineStr">
        <is>
          <t>29%</t>
        </is>
      </c>
    </row>
    <row r="12">
      <c r="A12" s="67" t="inlineStr">
        <is>
          <t>Tier 3-4 (다수 Bullish/Tactical)</t>
        </is>
      </c>
      <c r="B12" s="68" t="inlineStr">
        <is>
          <t>26%</t>
        </is>
      </c>
    </row>
    <row r="13">
      <c r="A13" s="67" t="inlineStr">
        <is>
          <t>현금</t>
        </is>
      </c>
      <c r="B13" s="68" t="inlineStr">
        <is>
          <t>15%</t>
        </is>
      </c>
    </row>
    <row r="14">
      <c r="A14" s="67" t="inlineStr"/>
      <c r="B14" s="68" t="inlineStr"/>
    </row>
    <row r="15">
      <c r="A15" s="69" t="inlineStr">
        <is>
          <t>섹터 분산</t>
        </is>
      </c>
      <c r="B15" s="89" t="n"/>
    </row>
    <row r="16">
      <c r="A16" s="67" t="inlineStr">
        <is>
          <t>보험/금융</t>
        </is>
      </c>
      <c r="B16" s="68" t="inlineStr">
        <is>
          <t>40%</t>
        </is>
      </c>
    </row>
    <row r="17">
      <c r="A17" s="67" t="inlineStr">
        <is>
          <t>헬스케어</t>
        </is>
      </c>
      <c r="B17" s="68" t="inlineStr">
        <is>
          <t>19%</t>
        </is>
      </c>
    </row>
    <row r="18">
      <c r="A18" s="67" t="inlineStr">
        <is>
          <t>기술/소프트웨어</t>
        </is>
      </c>
      <c r="B18" s="68" t="inlineStr">
        <is>
          <t>16%</t>
        </is>
      </c>
    </row>
    <row r="19">
      <c r="A19" s="67" t="inlineStr">
        <is>
          <t>반도체</t>
        </is>
      </c>
      <c r="B19" s="68" t="inlineStr">
        <is>
          <t>5%</t>
        </is>
      </c>
    </row>
    <row r="20">
      <c r="A20" s="67" t="inlineStr">
        <is>
          <t>현금</t>
        </is>
      </c>
      <c r="B20" s="68" t="inlineStr">
        <is>
          <t>15%</t>
        </is>
      </c>
    </row>
    <row r="21"/>
    <row r="22">
      <c r="A22" s="69" t="inlineStr">
        <is>
          <t>시나리오 분석</t>
        </is>
      </c>
      <c r="B22" s="89" t="n"/>
    </row>
    <row r="23">
      <c r="A23" s="67" t="inlineStr">
        <is>
          <t>Bull case (보험 호조 + AI 가속)</t>
        </is>
      </c>
      <c r="B23" s="68" t="inlineStr">
        <is>
          <t>+18~22%</t>
        </is>
      </c>
    </row>
    <row r="24">
      <c r="A24" s="67" t="inlineStr">
        <is>
          <t>Base case (정상 성장)</t>
        </is>
      </c>
      <c r="B24" s="68" t="inlineStr">
        <is>
          <t>+10~14%</t>
        </is>
      </c>
    </row>
    <row r="25">
      <c r="A25" s="67" t="inlineStr">
        <is>
          <t>Bear case (금리 급변 + 재해)</t>
        </is>
      </c>
      <c r="B25" s="68" t="inlineStr">
        <is>
          <t>-5~+3%</t>
        </is>
      </c>
    </row>
    <row r="26"/>
    <row r="27">
      <c r="A27" s="69" t="inlineStr">
        <is>
          <t>리스크 요인</t>
        </is>
      </c>
      <c r="B27" s="89" t="n"/>
    </row>
    <row r="28">
      <c r="A28" s="67" t="inlineStr">
        <is>
          <t>보험 섹터 집중 (40%)</t>
        </is>
      </c>
      <c r="B28" s="68" t="inlineStr">
        <is>
          <t>대형 자연재해, 금리 급변, 규제 변경</t>
        </is>
      </c>
    </row>
    <row r="29">
      <c r="A29" s="67" t="inlineStr">
        <is>
          <t>성장주 밸류에이션</t>
        </is>
      </c>
      <c r="B29" s="68" t="inlineStr">
        <is>
          <t>GOOGL/PTC/DXCM - Buffett 과대평가 경고</t>
        </is>
      </c>
    </row>
    <row r="30">
      <c r="A30" s="67" t="inlineStr">
        <is>
          <t>퀀트-질적 불일치</t>
        </is>
      </c>
      <c r="B30" s="68" t="inlineStr">
        <is>
          <t>CF/MOS/CTRA 제외 - commodity 반등 시 기회비용</t>
        </is>
      </c>
    </row>
    <row r="31">
      <c r="A31" t="inlineStr">
        <is>
          <t>MU 사이클 리스크</t>
        </is>
      </c>
      <c r="B31" t="inlineStr">
        <is>
          <t>AI/HBM 수요 지속 여부 불확실</t>
        </is>
      </c>
    </row>
  </sheetData>
  <mergeCells count="5">
    <mergeCell ref="A15:B15"/>
    <mergeCell ref="A1:B1"/>
    <mergeCell ref="A9:B9"/>
    <mergeCell ref="A27:B27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42" customWidth="1" min="3" max="3"/>
    <col width="42" customWidth="1" min="4" max="4"/>
    <col width="38" customWidth="1" min="5" max="5"/>
    <col width="52" customWidth="1" min="6" max="6"/>
  </cols>
  <sheetData>
    <row r="1">
      <c r="A1" s="1" t="inlineStr">
        <is>
          <t>3명의 전설적 투자자 관점 비교</t>
        </is>
      </c>
    </row>
    <row r="2">
      <c r="A2" s="3" t="inlineStr">
        <is>
          <t>투자자</t>
        </is>
      </c>
      <c r="B2" s="3" t="inlineStr">
        <is>
          <t>가중치</t>
        </is>
      </c>
      <c r="C2" s="3" t="inlineStr">
        <is>
          <t>선호 종목 TOP 5</t>
        </is>
      </c>
      <c r="D2" s="3" t="inlineStr">
        <is>
          <t>회피 종목 TOP 5</t>
        </is>
      </c>
      <c r="E2" s="3" t="inlineStr">
        <is>
          <t>핵심 기준</t>
        </is>
      </c>
      <c r="F2" s="3" t="inlineStr">
        <is>
          <t>대표 명언</t>
        </is>
      </c>
    </row>
    <row r="3" ht="50" customHeight="1">
      <c r="A3" s="71" t="inlineStr">
        <is>
          <t>Warren Buffett</t>
        </is>
      </c>
      <c r="B3" s="72" t="n">
        <v>1</v>
      </c>
      <c r="C3" s="73" t="inlineStr">
        <is>
          <t>AMP(92), ACGL(95), HIG(92), PGR(88), GL(87)</t>
        </is>
      </c>
      <c r="D3" s="74" t="inlineStr">
        <is>
          <t>NEM(88), DXCM(88), APH(88), FSLR(82), MU(78)</t>
        </is>
      </c>
      <c r="E3" s="75" t="inlineStr">
        <is>
          <t>ROE&gt;15%, Economic Moat, MOS&gt;25%, 낮은 CapEx</t>
        </is>
      </c>
      <c r="F3" s="76" t="inlineStr">
        <is>
          <t>"Price is what you pay. Value is what you get."</t>
        </is>
      </c>
    </row>
    <row r="4" ht="50" customHeight="1">
      <c r="A4" s="77" t="inlineStr">
        <is>
          <t>Peter Lynch</t>
        </is>
      </c>
      <c r="B4" s="78" t="n">
        <v>0.85</v>
      </c>
      <c r="C4" s="79" t="inlineStr">
        <is>
          <t>AMP(88), SYF(85), HIG(82), PGR(82), GOOGL(82)</t>
        </is>
      </c>
      <c r="D4" s="80" t="inlineStr">
        <is>
          <t>MOS(75), VZ(72), MPWR(71), NEM(70), CTRA(65)</t>
        </is>
      </c>
      <c r="E4" s="81" t="inlineStr">
        <is>
          <t>PEG&lt;1, 이해 가능한 비즈니스, 10배 잠재력</t>
        </is>
      </c>
      <c r="F4" s="82" t="inlineStr">
        <is>
          <t>"Know what you own, and know why you own it."</t>
        </is>
      </c>
    </row>
    <row r="5" ht="50" customHeight="1">
      <c r="A5" s="83" t="inlineStr">
        <is>
          <t>Phil Fisher</t>
        </is>
      </c>
      <c r="B5" s="84" t="n">
        <v>0.85</v>
      </c>
      <c r="C5" s="85" t="inlineStr">
        <is>
          <t>APH(85), MRK(82), GOOGL(82), PTC(82), INCY(80)</t>
        </is>
      </c>
      <c r="D5" s="86" t="inlineStr">
        <is>
          <t>MOS(85), CTRA(82), CF(75), VZ(72), BMY(71)</t>
        </is>
      </c>
      <c r="E5" s="87" t="inlineStr">
        <is>
          <t>R&amp;D/매출&gt;8%, 마진 개선 추세, 경영진 품질</t>
        </is>
      </c>
      <c r="F5" s="88" t="inlineStr">
        <is>
          <t>"I don't want a lot of good investments; I want a few outstanding ones."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2026-01-28T05:52:14Z</dcterms:created>
  <dcterms:modified xmlns:dcterms="http://purl.org/dc/terms/" xmlns:xsi="http://www.w3.org/2001/XMLSchema-instance" xsi:type="dcterms:W3CDTF">2026-01-28T05:52:51Z</dcterms:modified>
</cp:coreProperties>
</file>