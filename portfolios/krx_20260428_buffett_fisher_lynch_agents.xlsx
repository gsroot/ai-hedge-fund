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투자자 매트릭스" sheetId="4" state="visible" r:id="rId4"/>
    <sheet xmlns:r="http://schemas.openxmlformats.org/officeDocument/2006/relationships" name="투자자 상세" sheetId="5" state="visible" r:id="rId5"/>
    <sheet xmlns:r="http://schemas.openxmlformats.org/officeDocument/2006/relationships" name="리스크 분석" sheetId="6" state="visible" r:id="rId6"/>
  </sheets>
  <definedNames>
    <definedName name="_xlnm._FilterDatabase" localSheetId="1" hidden="1">'포트폴리오'!$A$1:$M$8</definedName>
    <definedName name="_xlnm._FilterDatabase" localSheetId="2" hidden="1">'순위'!$A$1:$P$31</definedName>
    <definedName name="_xlnm._FilterDatabase" localSheetId="3" hidden="1">'투자자 매트릭스'!$A$1:$G$31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"/>
    <numFmt numFmtId="166" formatCode="0.00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</font>
    <font>
      <name val="맑은 고딕"/>
      <b val="1"/>
    </font>
    <font>
      <name val="맑은 고딕"/>
      <b val="1"/>
      <color rgb="00FFFFFF"/>
      <sz val="12"/>
    </font>
    <font>
      <name val="맑은 고딕"/>
      <sz val="10"/>
    </font>
    <font>
      <name val="맑은 고딕"/>
      <color rgb="00375623"/>
    </font>
    <font>
      <name val="맑은 고딕"/>
      <color rgb="00616161"/>
    </font>
    <font>
      <name val="맑은 고딕"/>
      <color rgb="00C62828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164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165" fontId="5" fillId="5" borderId="1" applyAlignment="1" pivotButton="0" quotePrefix="0" xfId="0">
      <alignment vertical="center"/>
    </xf>
    <xf numFmtId="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1" fillId="2" borderId="0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시가총액 분포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'요약'!$A$18:$A$20</f>
            </numRef>
          </cat>
          <val>
            <numRef>
              <f>'요약'!$B$18:$B$20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AI Hedge Fund 포트폴리오 리포트 (90 LLM 에이전트)</t>
        </is>
      </c>
    </row>
    <row r="2"/>
    <row r="3">
      <c r="A3" s="2" t="inlineStr">
        <is>
          <t>분석 일자</t>
        </is>
      </c>
      <c r="B3" s="3" t="inlineStr">
        <is>
          <t>2026-04-28</t>
        </is>
      </c>
    </row>
    <row r="4">
      <c r="A4" s="2" t="inlineStr">
        <is>
          <t>분석 대상</t>
        </is>
      </c>
      <c r="B4" s="3" t="inlineStr">
        <is>
          <t>KRX 상위 30개</t>
        </is>
      </c>
    </row>
    <row r="5">
      <c r="A5" s="2" t="inlineStr">
        <is>
          <t>분석 전략</t>
        </is>
      </c>
      <c r="B5" s="3" t="inlineStr">
        <is>
          <t>하이브리드</t>
        </is>
      </c>
    </row>
    <row r="6">
      <c r="A6" s="2" t="inlineStr">
        <is>
          <t>투자자 관점</t>
        </is>
      </c>
      <c r="B6" s="3" t="inlineStr">
        <is>
          <t>W.Buffett, P.Lynch, P.Fisher</t>
        </is>
      </c>
    </row>
    <row r="7">
      <c r="A7" s="2" t="inlineStr">
        <is>
          <t>분석 방식</t>
        </is>
      </c>
      <c r="B7" s="3" t="inlineStr">
        <is>
          <t>LLM 에이전트 30종목 × 3투자자 = 90 호출</t>
        </is>
      </c>
    </row>
    <row r="8"/>
    <row r="9">
      <c r="A9" s="4" t="inlineStr">
        <is>
          <t>포트폴리오 통계</t>
        </is>
      </c>
      <c r="B9" s="3" t="inlineStr"/>
    </row>
    <row r="10">
      <c r="A10" s="2" t="inlineStr">
        <is>
          <t>편입 종목 수</t>
        </is>
      </c>
      <c r="B10" s="3">
        <f>COUNTA('포트폴리오'!B2:B7)&amp;" / 30 ("&amp;TEXT(COUNTA('포트폴리오'!B2:B7)/30,"0.0%")&amp;")"</f>
        <v/>
      </c>
    </row>
    <row r="11">
      <c r="A11" s="2" t="inlineStr">
        <is>
          <t>평균 신뢰도</t>
        </is>
      </c>
      <c r="B11" s="5">
        <f>AVERAGE('포트폴리오'!F2:F7)/100</f>
        <v/>
      </c>
    </row>
    <row r="12">
      <c r="A12" s="2" t="inlineStr">
        <is>
          <t>평균 예상 수익률</t>
        </is>
      </c>
      <c r="B12" s="5">
        <f>AVERAGE('포트폴리오'!G2:G7)</f>
        <v/>
      </c>
    </row>
    <row r="13">
      <c r="A13" s="2" t="inlineStr">
        <is>
          <t>강력매수 비중</t>
        </is>
      </c>
      <c r="B13" s="5">
        <f>SUMIF('포트폴리오'!E2:E7,"강력매수",'포트폴리오'!D2:D7)</f>
        <v/>
      </c>
    </row>
    <row r="14">
      <c r="A14" s="2" t="inlineStr">
        <is>
          <t>매수 비중</t>
        </is>
      </c>
      <c r="B14" s="5">
        <f>SUMIF('포트폴리오'!E2:E7,"매수",'포트폴리오'!D2:D7)</f>
        <v/>
      </c>
    </row>
    <row r="15">
      <c r="A15" s="2" t="inlineStr">
        <is>
          <t>현금/대기자금</t>
        </is>
      </c>
      <c r="B15" s="5" t="n">
        <v>0.35</v>
      </c>
    </row>
    <row r="16"/>
    <row r="17">
      <c r="A17" s="4" t="inlineStr">
        <is>
          <t>시가총액 분포</t>
        </is>
      </c>
      <c r="B17" s="3" t="inlineStr"/>
    </row>
    <row r="18">
      <c r="A18" s="3" t="inlineStr">
        <is>
          <t>중형주</t>
        </is>
      </c>
      <c r="B18" s="5" t="n">
        <v>0.35</v>
      </c>
    </row>
    <row r="19">
      <c r="A19" s="3" t="inlineStr">
        <is>
          <t>현금</t>
        </is>
      </c>
      <c r="B19" s="5" t="n">
        <v>0.35</v>
      </c>
    </row>
    <row r="20">
      <c r="A20" s="3" t="inlineStr">
        <is>
          <t>대형주</t>
        </is>
      </c>
      <c r="B20" s="5" t="n">
        <v>0.3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3" customWidth="1" min="4" max="4"/>
    <col width="8" customWidth="1" min="5" max="5"/>
    <col width="17" customWidth="1" min="6" max="6"/>
    <col width="21" customWidth="1" min="7" max="7"/>
    <col width="8" customWidth="1" min="8" max="8"/>
    <col width="8" customWidth="1" min="9" max="9"/>
    <col width="21" customWidth="1" min="10" max="10"/>
    <col width="8" customWidth="1" min="11" max="11"/>
    <col width="8" customWidth="1" min="12" max="12"/>
    <col width="8" customWidth="1" min="13" max="13"/>
  </cols>
  <sheetData>
    <row r="1" ht="22" customHeight="1">
      <c r="A1" s="6" t="inlineStr">
        <is>
          <t>#</t>
        </is>
      </c>
      <c r="B1" s="6" t="inlineStr">
        <is>
          <t>종목코드</t>
        </is>
      </c>
      <c r="C1" s="6" t="inlineStr">
        <is>
          <t>회사명</t>
        </is>
      </c>
      <c r="D1" s="6" t="inlineStr">
        <is>
          <t>비중</t>
        </is>
      </c>
      <c r="E1" s="6" t="inlineStr">
        <is>
          <t>신호</t>
        </is>
      </c>
      <c r="F1" s="6" t="inlineStr">
        <is>
          <t>신뢰도</t>
        </is>
      </c>
      <c r="G1" s="6" t="inlineStr">
        <is>
          <t>예상수익률</t>
        </is>
      </c>
      <c r="H1" s="6" t="inlineStr">
        <is>
          <t>시가총액</t>
        </is>
      </c>
      <c r="I1" s="6" t="inlineStr">
        <is>
          <t>P/E</t>
        </is>
      </c>
      <c r="J1" s="6" t="inlineStr">
        <is>
          <t>ROE</t>
        </is>
      </c>
      <c r="K1" s="6" t="inlineStr">
        <is>
          <t>PEG</t>
        </is>
      </c>
      <c r="L1" s="6" t="inlineStr">
        <is>
          <t>합의</t>
        </is>
      </c>
      <c r="M1" s="6" t="inlineStr">
        <is>
          <t>섹터</t>
        </is>
      </c>
    </row>
    <row r="2" ht="18" customHeight="1">
      <c r="A2" s="7" t="n">
        <v>1</v>
      </c>
      <c r="B2" s="7" t="inlineStr">
        <is>
          <t>278470</t>
        </is>
      </c>
      <c r="C2" s="7" t="inlineStr">
        <is>
          <t>에이피알</t>
        </is>
      </c>
      <c r="D2" s="8" t="n">
        <v>0.15</v>
      </c>
      <c r="E2" s="7" t="inlineStr">
        <is>
          <t>매수</t>
        </is>
      </c>
      <c r="F2" s="7" t="n">
        <v>73</v>
      </c>
      <c r="G2" s="9" t="n">
        <v>0.109</v>
      </c>
      <c r="H2" s="7" t="inlineStr">
        <is>
          <t>₩17조</t>
        </is>
      </c>
      <c r="I2" s="7" t="inlineStr">
        <is>
          <t>N/A</t>
        </is>
      </c>
      <c r="J2" s="8" t="n">
        <v>0.65</v>
      </c>
      <c r="K2" s="7" t="inlineStr">
        <is>
          <t>N/A</t>
        </is>
      </c>
      <c r="L2" s="7" t="inlineStr">
        <is>
          <t>2/3</t>
        </is>
      </c>
      <c r="M2" s="7" t="inlineStr">
        <is>
          <t>대형주</t>
        </is>
      </c>
    </row>
    <row r="3" ht="18" customHeight="1">
      <c r="A3" s="7" t="n">
        <v>2</v>
      </c>
      <c r="B3" s="7" t="inlineStr">
        <is>
          <t>042700</t>
        </is>
      </c>
      <c r="C3" s="7" t="inlineStr">
        <is>
          <t>한미반도체</t>
        </is>
      </c>
      <c r="D3" s="8" t="n">
        <v>0.15</v>
      </c>
      <c r="E3" s="7" t="inlineStr">
        <is>
          <t>매수</t>
        </is>
      </c>
      <c r="F3" s="7" t="n">
        <v>65</v>
      </c>
      <c r="G3" s="9" t="n">
        <v>0.108</v>
      </c>
      <c r="H3" s="7" t="inlineStr">
        <is>
          <t>₩36조</t>
        </is>
      </c>
      <c r="I3" s="7" t="inlineStr">
        <is>
          <t>N/A</t>
        </is>
      </c>
      <c r="J3" s="8" t="n">
        <v>0.31</v>
      </c>
      <c r="K3" s="7" t="inlineStr">
        <is>
          <t>N/A</t>
        </is>
      </c>
      <c r="L3" s="7" t="inlineStr">
        <is>
          <t>2/3</t>
        </is>
      </c>
      <c r="M3" s="7" t="inlineStr">
        <is>
          <t>대형주</t>
        </is>
      </c>
    </row>
    <row r="4" ht="18" customHeight="1">
      <c r="A4" s="7" t="n">
        <v>3</v>
      </c>
      <c r="B4" s="7" t="inlineStr">
        <is>
          <t>062040</t>
        </is>
      </c>
      <c r="C4" s="7" t="inlineStr">
        <is>
          <t>산일전기</t>
        </is>
      </c>
      <c r="D4" s="8" t="n">
        <v>0.08749999999999999</v>
      </c>
      <c r="E4" s="7" t="inlineStr">
        <is>
          <t>강력매수</t>
        </is>
      </c>
      <c r="F4" s="7" t="n">
        <v>71</v>
      </c>
      <c r="G4" s="9" t="n">
        <v>0.131</v>
      </c>
      <c r="H4" s="7" t="inlineStr">
        <is>
          <t>₩7.1조</t>
        </is>
      </c>
      <c r="I4" s="7" t="inlineStr">
        <is>
          <t>N/A</t>
        </is>
      </c>
      <c r="J4" s="8" t="n">
        <v>0.254</v>
      </c>
      <c r="K4" s="7" t="inlineStr">
        <is>
          <t>N/A</t>
        </is>
      </c>
      <c r="L4" s="7" t="inlineStr">
        <is>
          <t>3/3</t>
        </is>
      </c>
      <c r="M4" s="7" t="inlineStr">
        <is>
          <t>중형주</t>
        </is>
      </c>
    </row>
    <row r="5" ht="18" customHeight="1">
      <c r="A5" s="7" t="n">
        <v>4</v>
      </c>
      <c r="B5" s="7" t="inlineStr">
        <is>
          <t>483650</t>
        </is>
      </c>
      <c r="C5" s="7" t="inlineStr">
        <is>
          <t>달바글로벌</t>
        </is>
      </c>
      <c r="D5" s="8" t="n">
        <v>0.08749999999999999</v>
      </c>
      <c r="E5" s="7" t="inlineStr">
        <is>
          <t>매수</t>
        </is>
      </c>
      <c r="F5" s="7" t="n">
        <v>67</v>
      </c>
      <c r="G5" s="9" t="n">
        <v>0.124</v>
      </c>
      <c r="H5" s="7" t="inlineStr">
        <is>
          <t>₩2.9조</t>
        </is>
      </c>
      <c r="I5" s="7" t="inlineStr">
        <is>
          <t>N/A</t>
        </is>
      </c>
      <c r="J5" s="8" t="n">
        <v>0.398</v>
      </c>
      <c r="K5" s="7" t="inlineStr">
        <is>
          <t>N/A</t>
        </is>
      </c>
      <c r="L5" s="7" t="inlineStr">
        <is>
          <t>2/3</t>
        </is>
      </c>
      <c r="M5" s="7" t="inlineStr">
        <is>
          <t>중형주</t>
        </is>
      </c>
    </row>
    <row r="6" ht="18" customHeight="1">
      <c r="A6" s="7" t="n">
        <v>5</v>
      </c>
      <c r="B6" s="7" t="inlineStr">
        <is>
          <t>101490</t>
        </is>
      </c>
      <c r="C6" s="7" t="inlineStr">
        <is>
          <t>에스앤에스텍</t>
        </is>
      </c>
      <c r="D6" s="8" t="n">
        <v>0.08749999999999999</v>
      </c>
      <c r="E6" s="7" t="inlineStr">
        <is>
          <t>매수</t>
        </is>
      </c>
      <c r="F6" s="7" t="n">
        <v>72</v>
      </c>
      <c r="G6" s="9" t="n">
        <v>0.112</v>
      </c>
      <c r="H6" s="7" t="inlineStr">
        <is>
          <t>₩2.2조</t>
        </is>
      </c>
      <c r="I6" s="7" t="inlineStr">
        <is>
          <t>N/A</t>
        </is>
      </c>
      <c r="J6" s="8" t="n">
        <v>0.191</v>
      </c>
      <c r="K6" s="7" t="inlineStr">
        <is>
          <t>N/A</t>
        </is>
      </c>
      <c r="L6" s="7" t="inlineStr">
        <is>
          <t>2/3</t>
        </is>
      </c>
      <c r="M6" s="7" t="inlineStr">
        <is>
          <t>중형주</t>
        </is>
      </c>
    </row>
    <row r="7" ht="18" customHeight="1">
      <c r="A7" s="7" t="n">
        <v>6</v>
      </c>
      <c r="B7" s="7" t="inlineStr">
        <is>
          <t>403870</t>
        </is>
      </c>
      <c r="C7" s="7" t="inlineStr">
        <is>
          <t>HPSP</t>
        </is>
      </c>
      <c r="D7" s="8" t="n">
        <v>0.08749999999999999</v>
      </c>
      <c r="E7" s="7" t="inlineStr">
        <is>
          <t>매수</t>
        </is>
      </c>
      <c r="F7" s="7" t="n">
        <v>64</v>
      </c>
      <c r="G7" s="9" t="n">
        <v>0.095</v>
      </c>
      <c r="H7" s="7" t="inlineStr">
        <is>
          <t>₩4.5조</t>
        </is>
      </c>
      <c r="I7" s="7" t="inlineStr">
        <is>
          <t>N/A</t>
        </is>
      </c>
      <c r="J7" s="8" t="n">
        <v>0.236</v>
      </c>
      <c r="K7" s="7" t="inlineStr">
        <is>
          <t>N/A</t>
        </is>
      </c>
      <c r="L7" s="7" t="inlineStr">
        <is>
          <t>2/3</t>
        </is>
      </c>
      <c r="M7" s="7" t="inlineStr">
        <is>
          <t>중형주</t>
        </is>
      </c>
    </row>
    <row r="8" ht="18" customHeight="1">
      <c r="A8" s="10" t="n">
        <v>7</v>
      </c>
      <c r="B8" s="10" t="inlineStr">
        <is>
          <t>CASH</t>
        </is>
      </c>
      <c r="C8" s="10" t="inlineStr">
        <is>
          <t>현금/대기자금</t>
        </is>
      </c>
      <c r="D8" s="11" t="n">
        <v>0.35</v>
      </c>
      <c r="E8" s="10" t="inlineStr">
        <is>
          <t>대기</t>
        </is>
      </c>
      <c r="F8" s="10" t="inlineStr">
        <is>
          <t>N/A</t>
        </is>
      </c>
      <c r="G8" s="12" t="n">
        <v>0</v>
      </c>
      <c r="H8" s="10" t="inlineStr">
        <is>
          <t>N/A</t>
        </is>
      </c>
      <c r="I8" s="10" t="inlineStr">
        <is>
          <t>N/A</t>
        </is>
      </c>
      <c r="J8" s="10" t="inlineStr">
        <is>
          <t>N/A</t>
        </is>
      </c>
      <c r="K8" s="10" t="inlineStr">
        <is>
          <t>N/A</t>
        </is>
      </c>
      <c r="L8" s="10" t="inlineStr">
        <is>
          <t>-</t>
        </is>
      </c>
      <c r="M8" s="10" t="inlineStr">
        <is>
          <t>현금</t>
        </is>
      </c>
    </row>
    <row r="9">
      <c r="A9" s="13" t="inlineStr"/>
      <c r="B9" s="13" t="inlineStr"/>
      <c r="C9" s="13" t="inlineStr">
        <is>
          <t>합계/평균</t>
        </is>
      </c>
      <c r="D9" s="14">
        <f>SUM(D2:D8)</f>
        <v/>
      </c>
      <c r="E9" s="13" t="inlineStr"/>
      <c r="F9" s="13">
        <f>AVERAGE(F2:F7)</f>
        <v/>
      </c>
      <c r="G9" s="15">
        <f>AVERAGE(G2:G7)</f>
        <v/>
      </c>
      <c r="H9" s="13" t="inlineStr"/>
      <c r="I9" s="13" t="inlineStr"/>
      <c r="J9" s="13" t="inlineStr"/>
      <c r="K9" s="13" t="inlineStr"/>
      <c r="L9" s="13" t="inlineStr"/>
      <c r="M9" s="13" t="inlineStr"/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21" customWidth="1" min="9" max="9"/>
    <col width="10" customWidth="1" min="10" max="10"/>
    <col width="8" customWidth="1" min="11" max="11"/>
    <col width="8" customWidth="1" min="12" max="12"/>
    <col width="22" customWidth="1" min="13" max="13"/>
    <col width="23" customWidth="1" min="14" max="14"/>
    <col width="8" customWidth="1" min="15" max="15"/>
    <col width="8" customWidth="1" min="16" max="16"/>
  </cols>
  <sheetData>
    <row r="1" ht="22" customHeight="1">
      <c r="A1" s="6" t="inlineStr">
        <is>
          <t>순위</t>
        </is>
      </c>
      <c r="B1" s="6" t="inlineStr">
        <is>
          <t>종목코드</t>
        </is>
      </c>
      <c r="C1" s="6" t="inlineStr">
        <is>
          <t>회사명</t>
        </is>
      </c>
      <c r="D1" s="6" t="inlineStr">
        <is>
          <t>종합점수</t>
        </is>
      </c>
      <c r="E1" s="6" t="inlineStr">
        <is>
          <t>펀더멘털</t>
        </is>
      </c>
      <c r="F1" s="6" t="inlineStr">
        <is>
          <t>모멘텀</t>
        </is>
      </c>
      <c r="G1" s="6" t="inlineStr">
        <is>
          <t>앙상블</t>
        </is>
      </c>
      <c r="H1" s="6" t="inlineStr">
        <is>
          <t>신호</t>
        </is>
      </c>
      <c r="I1" s="6" t="inlineStr">
        <is>
          <t>예상수익률</t>
        </is>
      </c>
      <c r="J1" s="6" t="inlineStr">
        <is>
          <t>시가총액</t>
        </is>
      </c>
      <c r="K1" s="6" t="inlineStr">
        <is>
          <t>P/E</t>
        </is>
      </c>
      <c r="L1" s="6" t="inlineStr">
        <is>
          <t>P/B</t>
        </is>
      </c>
      <c r="M1" s="6" t="inlineStr">
        <is>
          <t>ROE</t>
        </is>
      </c>
      <c r="N1" s="6" t="inlineStr">
        <is>
          <t>매출성장률</t>
        </is>
      </c>
      <c r="O1" s="6" t="inlineStr">
        <is>
          <t>PEG</t>
        </is>
      </c>
      <c r="P1" s="6" t="inlineStr">
        <is>
          <t>편입여부</t>
        </is>
      </c>
    </row>
    <row r="2" ht="18" customHeight="1">
      <c r="A2" s="7" t="n">
        <v>1</v>
      </c>
      <c r="B2" s="7" t="inlineStr">
        <is>
          <t>062040</t>
        </is>
      </c>
      <c r="C2" s="7" t="inlineStr">
        <is>
          <t>산일전기</t>
        </is>
      </c>
      <c r="D2" s="7" t="n">
        <v>6.74</v>
      </c>
      <c r="E2" s="7" t="n">
        <v>5.77</v>
      </c>
      <c r="F2" s="7" t="n">
        <v>9</v>
      </c>
      <c r="G2" s="7" t="n">
        <v>6.44</v>
      </c>
      <c r="H2" s="7" t="inlineStr">
        <is>
          <t>buy</t>
        </is>
      </c>
      <c r="I2" s="9" t="n">
        <v>0.131</v>
      </c>
      <c r="J2" s="7" t="inlineStr">
        <is>
          <t>₩7.1조</t>
        </is>
      </c>
      <c r="K2" s="7" t="inlineStr">
        <is>
          <t>N/A</t>
        </is>
      </c>
      <c r="L2" s="7" t="inlineStr">
        <is>
          <t>N/A</t>
        </is>
      </c>
      <c r="M2" s="8" t="n">
        <v>0.254</v>
      </c>
      <c r="N2" s="9" t="n">
        <v>0.503</v>
      </c>
      <c r="O2" s="7" t="inlineStr">
        <is>
          <t>N/A</t>
        </is>
      </c>
      <c r="P2" s="7" t="inlineStr">
        <is>
          <t>예</t>
        </is>
      </c>
    </row>
    <row r="3" ht="18" customHeight="1">
      <c r="A3" s="7" t="n">
        <v>2</v>
      </c>
      <c r="B3" s="7" t="inlineStr">
        <is>
          <t>483650</t>
        </is>
      </c>
      <c r="C3" s="7" t="inlineStr">
        <is>
          <t>달바글로벌</t>
        </is>
      </c>
      <c r="D3" s="7" t="n">
        <v>6.53</v>
      </c>
      <c r="E3" s="7" t="n">
        <v>5.47</v>
      </c>
      <c r="F3" s="7" t="n">
        <v>9</v>
      </c>
      <c r="G3" s="7" t="n">
        <v>6.22</v>
      </c>
      <c r="H3" s="7" t="inlineStr">
        <is>
          <t>buy</t>
        </is>
      </c>
      <c r="I3" s="9" t="n">
        <v>0.124</v>
      </c>
      <c r="J3" s="7" t="inlineStr">
        <is>
          <t>₩2.9조</t>
        </is>
      </c>
      <c r="K3" s="7" t="inlineStr">
        <is>
          <t>N/A</t>
        </is>
      </c>
      <c r="L3" s="7" t="inlineStr">
        <is>
          <t>N/A</t>
        </is>
      </c>
      <c r="M3" s="8" t="n">
        <v>0.398</v>
      </c>
      <c r="N3" s="9" t="n">
        <v>0.6820000000000001</v>
      </c>
      <c r="O3" s="7" t="inlineStr">
        <is>
          <t>N/A</t>
        </is>
      </c>
      <c r="P3" s="7" t="inlineStr">
        <is>
          <t>예</t>
        </is>
      </c>
    </row>
    <row r="4" ht="18" customHeight="1">
      <c r="A4" s="16" t="n">
        <v>3</v>
      </c>
      <c r="B4" s="16" t="inlineStr">
        <is>
          <t>000660</t>
        </is>
      </c>
      <c r="C4" s="16" t="inlineStr">
        <is>
          <t>SK하이닉스</t>
        </is>
      </c>
      <c r="D4" s="16" t="n">
        <v>6.5</v>
      </c>
      <c r="E4" s="16" t="n">
        <v>5.43</v>
      </c>
      <c r="F4" s="16" t="n">
        <v>9</v>
      </c>
      <c r="G4" s="16" t="n">
        <v>6.09</v>
      </c>
      <c r="H4" s="16" t="inlineStr">
        <is>
          <t>buy</t>
        </is>
      </c>
      <c r="I4" s="17" t="n">
        <v>0.123</v>
      </c>
      <c r="J4" s="16" t="inlineStr">
        <is>
          <t>₩921조</t>
        </is>
      </c>
      <c r="K4" s="16" t="inlineStr">
        <is>
          <t>N/A</t>
        </is>
      </c>
      <c r="L4" s="16" t="inlineStr">
        <is>
          <t>N/A</t>
        </is>
      </c>
      <c r="M4" s="18" t="n">
        <v>0.356</v>
      </c>
      <c r="N4" s="17" t="n">
        <v>0.468</v>
      </c>
      <c r="O4" s="16" t="inlineStr">
        <is>
          <t>N/A</t>
        </is>
      </c>
      <c r="P4" s="16" t="inlineStr">
        <is>
          <t>아니오</t>
        </is>
      </c>
    </row>
    <row r="5" ht="18" customHeight="1">
      <c r="A5" s="16" t="n">
        <v>4</v>
      </c>
      <c r="B5" s="16" t="inlineStr">
        <is>
          <t>082920</t>
        </is>
      </c>
      <c r="C5" s="16" t="inlineStr">
        <is>
          <t>비츠로셀</t>
        </is>
      </c>
      <c r="D5" s="16" t="n">
        <v>6.36</v>
      </c>
      <c r="E5" s="16" t="n">
        <v>4.8</v>
      </c>
      <c r="F5" s="16" t="n">
        <v>10</v>
      </c>
      <c r="G5" s="16" t="n">
        <v>5.76</v>
      </c>
      <c r="H5" s="16" t="inlineStr">
        <is>
          <t>buy</t>
        </is>
      </c>
      <c r="I5" s="17" t="n">
        <v>0.118</v>
      </c>
      <c r="J5" s="16" t="inlineStr">
        <is>
          <t>₩2.4조</t>
        </is>
      </c>
      <c r="K5" s="16" t="inlineStr">
        <is>
          <t>N/A</t>
        </is>
      </c>
      <c r="L5" s="16" t="inlineStr">
        <is>
          <t>N/A</t>
        </is>
      </c>
      <c r="M5" s="18" t="n">
        <v>0.172</v>
      </c>
      <c r="N5" s="17" t="n">
        <v>0.153</v>
      </c>
      <c r="O5" s="16" t="inlineStr">
        <is>
          <t>N/A</t>
        </is>
      </c>
      <c r="P5" s="16" t="inlineStr">
        <is>
          <t>아니오</t>
        </is>
      </c>
    </row>
    <row r="6" ht="18" customHeight="1">
      <c r="A6" s="16" t="n">
        <v>5</v>
      </c>
      <c r="B6" s="16" t="inlineStr">
        <is>
          <t>171090</t>
        </is>
      </c>
      <c r="C6" s="16" t="inlineStr">
        <is>
          <t>선익시스템</t>
        </is>
      </c>
      <c r="D6" s="16" t="n">
        <v>6.28</v>
      </c>
      <c r="E6" s="16" t="n">
        <v>4.69</v>
      </c>
      <c r="F6" s="16" t="n">
        <v>10</v>
      </c>
      <c r="G6" s="16" t="n">
        <v>5.25</v>
      </c>
      <c r="H6" s="16" t="inlineStr">
        <is>
          <t>buy</t>
        </is>
      </c>
      <c r="I6" s="17" t="n">
        <v>0.115</v>
      </c>
      <c r="J6" s="16" t="inlineStr">
        <is>
          <t>₩11,568억</t>
        </is>
      </c>
      <c r="K6" s="16" t="inlineStr">
        <is>
          <t>N/A</t>
        </is>
      </c>
      <c r="L6" s="16" t="inlineStr">
        <is>
          <t>N/A</t>
        </is>
      </c>
      <c r="M6" s="18" t="n">
        <v>0.6709999999999999</v>
      </c>
      <c r="N6" s="17" t="n">
        <v>3.567</v>
      </c>
      <c r="O6" s="16" t="inlineStr">
        <is>
          <t>N/A</t>
        </is>
      </c>
      <c r="P6" s="16" t="inlineStr">
        <is>
          <t>아니오</t>
        </is>
      </c>
    </row>
    <row r="7" ht="18" customHeight="1">
      <c r="A7" s="16" t="n">
        <v>6</v>
      </c>
      <c r="B7" s="16" t="inlineStr">
        <is>
          <t>005930</t>
        </is>
      </c>
      <c r="C7" s="16" t="inlineStr">
        <is>
          <t>삼성전자</t>
        </is>
      </c>
      <c r="D7" s="16" t="n">
        <v>6.25</v>
      </c>
      <c r="E7" s="16" t="n">
        <v>3.18</v>
      </c>
      <c r="F7" s="16" t="n">
        <v>10</v>
      </c>
      <c r="G7" s="16" t="n">
        <v>3.93</v>
      </c>
      <c r="H7" s="16" t="inlineStr">
        <is>
          <t>buy</t>
        </is>
      </c>
      <c r="I7" s="17" t="n">
        <v>0.114</v>
      </c>
      <c r="J7" s="16" t="inlineStr">
        <is>
          <t>₩1312조</t>
        </is>
      </c>
      <c r="K7" s="16" t="inlineStr">
        <is>
          <t>N/A</t>
        </is>
      </c>
      <c r="L7" s="16" t="inlineStr">
        <is>
          <t>N/A</t>
        </is>
      </c>
      <c r="M7" s="18" t="n">
        <v>0.104</v>
      </c>
      <c r="N7" s="17" t="n">
        <v>0.109</v>
      </c>
      <c r="O7" s="16" t="inlineStr">
        <is>
          <t>N/A</t>
        </is>
      </c>
      <c r="P7" s="16" t="inlineStr">
        <is>
          <t>아니오</t>
        </is>
      </c>
    </row>
    <row r="8" ht="18" customHeight="1">
      <c r="A8" s="16" t="n">
        <v>7</v>
      </c>
      <c r="B8" s="16" t="inlineStr">
        <is>
          <t>023160</t>
        </is>
      </c>
      <c r="C8" s="16" t="inlineStr">
        <is>
          <t>태광</t>
        </is>
      </c>
      <c r="D8" s="16" t="n">
        <v>6.23</v>
      </c>
      <c r="E8" s="16" t="n">
        <v>3.14</v>
      </c>
      <c r="F8" s="16" t="n">
        <v>10</v>
      </c>
      <c r="G8" s="16" t="n">
        <v>3.67</v>
      </c>
      <c r="H8" s="16" t="inlineStr">
        <is>
          <t>buy</t>
        </is>
      </c>
      <c r="I8" s="17" t="n">
        <v>0.113</v>
      </c>
      <c r="J8" s="16" t="inlineStr">
        <is>
          <t>₩12,054억</t>
        </is>
      </c>
      <c r="K8" s="16" t="inlineStr">
        <is>
          <t>N/A</t>
        </is>
      </c>
      <c r="L8" s="16" t="inlineStr">
        <is>
          <t>N/A</t>
        </is>
      </c>
      <c r="M8" s="18" t="n">
        <v>0.098</v>
      </c>
      <c r="N8" s="17" t="n">
        <v>0.113</v>
      </c>
      <c r="O8" s="16" t="inlineStr">
        <is>
          <t>N/A</t>
        </is>
      </c>
      <c r="P8" s="16" t="inlineStr">
        <is>
          <t>아니오</t>
        </is>
      </c>
    </row>
    <row r="9" ht="18" customHeight="1">
      <c r="A9" s="7" t="n">
        <v>8</v>
      </c>
      <c r="B9" s="7" t="inlineStr">
        <is>
          <t>101490</t>
        </is>
      </c>
      <c r="C9" s="7" t="inlineStr">
        <is>
          <t>에스앤에스텍</t>
        </is>
      </c>
      <c r="D9" s="7" t="n">
        <v>6.21</v>
      </c>
      <c r="E9" s="7" t="n">
        <v>5.01</v>
      </c>
      <c r="F9" s="7" t="n">
        <v>9</v>
      </c>
      <c r="G9" s="7" t="n">
        <v>6.05</v>
      </c>
      <c r="H9" s="7" t="inlineStr">
        <is>
          <t>buy</t>
        </is>
      </c>
      <c r="I9" s="9" t="n">
        <v>0.112</v>
      </c>
      <c r="J9" s="7" t="inlineStr">
        <is>
          <t>₩2.2조</t>
        </is>
      </c>
      <c r="K9" s="7" t="inlineStr">
        <is>
          <t>N/A</t>
        </is>
      </c>
      <c r="L9" s="7" t="inlineStr">
        <is>
          <t>N/A</t>
        </is>
      </c>
      <c r="M9" s="8" t="n">
        <v>0.191</v>
      </c>
      <c r="N9" s="9" t="n">
        <v>0.385</v>
      </c>
      <c r="O9" s="7" t="inlineStr">
        <is>
          <t>N/A</t>
        </is>
      </c>
      <c r="P9" s="7" t="inlineStr">
        <is>
          <t>예</t>
        </is>
      </c>
    </row>
    <row r="10" ht="18" customHeight="1">
      <c r="A10" s="16" t="n">
        <v>9</v>
      </c>
      <c r="B10" s="16" t="inlineStr">
        <is>
          <t>053610</t>
        </is>
      </c>
      <c r="C10" s="16" t="inlineStr">
        <is>
          <t>프로텍</t>
        </is>
      </c>
      <c r="D10" s="16" t="n">
        <v>6.15</v>
      </c>
      <c r="E10" s="16" t="n">
        <v>3.82</v>
      </c>
      <c r="F10" s="16" t="n">
        <v>9</v>
      </c>
      <c r="G10" s="16" t="n">
        <v>4.4</v>
      </c>
      <c r="H10" s="16" t="inlineStr">
        <is>
          <t>buy</t>
        </is>
      </c>
      <c r="I10" s="17" t="n">
        <v>0.11</v>
      </c>
      <c r="J10" s="16" t="inlineStr">
        <is>
          <t>₩8,558억</t>
        </is>
      </c>
      <c r="K10" s="16" t="inlineStr">
        <is>
          <t>N/A</t>
        </is>
      </c>
      <c r="L10" s="16" t="inlineStr">
        <is>
          <t>N/A</t>
        </is>
      </c>
      <c r="M10" s="18" t="n">
        <v>0.1</v>
      </c>
      <c r="N10" s="17" t="n">
        <v>0.354</v>
      </c>
      <c r="O10" s="16" t="inlineStr">
        <is>
          <t>N/A</t>
        </is>
      </c>
      <c r="P10" s="16" t="inlineStr">
        <is>
          <t>아니오</t>
        </is>
      </c>
    </row>
    <row r="11" ht="18" customHeight="1">
      <c r="A11" s="7" t="n">
        <v>10</v>
      </c>
      <c r="B11" s="7" t="inlineStr">
        <is>
          <t>278470</t>
        </is>
      </c>
      <c r="C11" s="7" t="inlineStr">
        <is>
          <t>에이피알</t>
        </is>
      </c>
      <c r="D11" s="7" t="n">
        <v>6.12</v>
      </c>
      <c r="E11" s="7" t="n">
        <v>4.88</v>
      </c>
      <c r="F11" s="7" t="n">
        <v>9</v>
      </c>
      <c r="G11" s="7" t="n">
        <v>5.5</v>
      </c>
      <c r="H11" s="7" t="inlineStr">
        <is>
          <t>buy</t>
        </is>
      </c>
      <c r="I11" s="9" t="n">
        <v>0.109</v>
      </c>
      <c r="J11" s="7" t="inlineStr">
        <is>
          <t>₩17조</t>
        </is>
      </c>
      <c r="K11" s="7" t="inlineStr">
        <is>
          <t>N/A</t>
        </is>
      </c>
      <c r="L11" s="7" t="inlineStr">
        <is>
          <t>N/A</t>
        </is>
      </c>
      <c r="M11" s="8" t="n">
        <v>0.65</v>
      </c>
      <c r="N11" s="9" t="n">
        <v>1.113</v>
      </c>
      <c r="O11" s="7" t="inlineStr">
        <is>
          <t>N/A</t>
        </is>
      </c>
      <c r="P11" s="7" t="inlineStr">
        <is>
          <t>예</t>
        </is>
      </c>
    </row>
    <row r="12" ht="18" customHeight="1">
      <c r="A12" s="7" t="n">
        <v>11</v>
      </c>
      <c r="B12" s="7" t="inlineStr">
        <is>
          <t>042700</t>
        </is>
      </c>
      <c r="C12" s="7" t="inlineStr">
        <is>
          <t>한미반도체</t>
        </is>
      </c>
      <c r="D12" s="7" t="n">
        <v>6.07</v>
      </c>
      <c r="E12" s="7" t="n">
        <v>4.82</v>
      </c>
      <c r="F12" s="7" t="n">
        <v>9</v>
      </c>
      <c r="G12" s="7" t="n">
        <v>5.4</v>
      </c>
      <c r="H12" s="7" t="inlineStr">
        <is>
          <t>buy</t>
        </is>
      </c>
      <c r="I12" s="9" t="n">
        <v>0.108</v>
      </c>
      <c r="J12" s="7" t="inlineStr">
        <is>
          <t>₩36조</t>
        </is>
      </c>
      <c r="K12" s="7" t="inlineStr">
        <is>
          <t>N/A</t>
        </is>
      </c>
      <c r="L12" s="7" t="inlineStr">
        <is>
          <t>N/A</t>
        </is>
      </c>
      <c r="M12" s="8" t="n">
        <v>0.31</v>
      </c>
      <c r="N12" s="9" t="n">
        <v>0.032</v>
      </c>
      <c r="O12" s="7" t="inlineStr">
        <is>
          <t>N/A</t>
        </is>
      </c>
      <c r="P12" s="7" t="inlineStr">
        <is>
          <t>예</t>
        </is>
      </c>
    </row>
    <row r="13" ht="18" customHeight="1">
      <c r="A13" s="16" t="n">
        <v>12</v>
      </c>
      <c r="B13" s="16" t="inlineStr">
        <is>
          <t>039030</t>
        </is>
      </c>
      <c r="C13" s="16" t="inlineStr">
        <is>
          <t>이오테크닉스</t>
        </is>
      </c>
      <c r="D13" s="16" t="n">
        <v>5.92</v>
      </c>
      <c r="E13" s="16" t="n">
        <v>3.41</v>
      </c>
      <c r="F13" s="16" t="n">
        <v>9</v>
      </c>
      <c r="G13" s="16" t="n">
        <v>3.98</v>
      </c>
      <c r="H13" s="16" t="inlineStr">
        <is>
          <t>buy</t>
        </is>
      </c>
      <c r="I13" s="17" t="n">
        <v>0.102</v>
      </c>
      <c r="J13" s="16" t="inlineStr">
        <is>
          <t>₩6.2조</t>
        </is>
      </c>
      <c r="K13" s="16" t="inlineStr">
        <is>
          <t>N/A</t>
        </is>
      </c>
      <c r="L13" s="16" t="inlineStr">
        <is>
          <t>N/A</t>
        </is>
      </c>
      <c r="M13" s="18" t="n">
        <v>0.08400000000000001</v>
      </c>
      <c r="N13" s="17" t="n">
        <v>0.187</v>
      </c>
      <c r="O13" s="16" t="inlineStr">
        <is>
          <t>N/A</t>
        </is>
      </c>
      <c r="P13" s="16" t="inlineStr">
        <is>
          <t>아니오</t>
        </is>
      </c>
    </row>
    <row r="14" ht="18" customHeight="1">
      <c r="A14" s="16" t="n">
        <v>13</v>
      </c>
      <c r="B14" s="16" t="inlineStr">
        <is>
          <t>079550</t>
        </is>
      </c>
      <c r="C14" s="16" t="inlineStr">
        <is>
          <t>LIG디펜스앤에어로스페이스</t>
        </is>
      </c>
      <c r="D14" s="16" t="n">
        <v>5.89</v>
      </c>
      <c r="E14" s="16" t="n">
        <v>2.94</v>
      </c>
      <c r="F14" s="16" t="n">
        <v>9.5</v>
      </c>
      <c r="G14" s="16" t="n">
        <v>3.54</v>
      </c>
      <c r="H14" s="16" t="inlineStr">
        <is>
          <t>buy</t>
        </is>
      </c>
      <c r="I14" s="17" t="n">
        <v>0.101</v>
      </c>
      <c r="J14" s="16" t="inlineStr">
        <is>
          <t>₩21조</t>
        </is>
      </c>
      <c r="K14" s="16" t="inlineStr">
        <is>
          <t>N/A</t>
        </is>
      </c>
      <c r="L14" s="16" t="inlineStr">
        <is>
          <t>N/A</t>
        </is>
      </c>
      <c r="M14" s="18" t="n">
        <v>0.161</v>
      </c>
      <c r="N14" s="17" t="n">
        <v>0.315</v>
      </c>
      <c r="O14" s="16" t="inlineStr">
        <is>
          <t>N/A</t>
        </is>
      </c>
      <c r="P14" s="16" t="inlineStr">
        <is>
          <t>아니오</t>
        </is>
      </c>
    </row>
    <row r="15" ht="18" customHeight="1">
      <c r="A15" s="16" t="n">
        <v>14</v>
      </c>
      <c r="B15" s="16" t="inlineStr">
        <is>
          <t>017960</t>
        </is>
      </c>
      <c r="C15" s="16" t="inlineStr">
        <is>
          <t>한국카본</t>
        </is>
      </c>
      <c r="D15" s="16" t="n">
        <v>5.84</v>
      </c>
      <c r="E15" s="16" t="n">
        <v>3.26</v>
      </c>
      <c r="F15" s="16" t="n">
        <v>9</v>
      </c>
      <c r="G15" s="16" t="n">
        <v>3.93</v>
      </c>
      <c r="H15" s="16" t="inlineStr">
        <is>
          <t>buy</t>
        </is>
      </c>
      <c r="I15" s="17" t="n">
        <v>0.1</v>
      </c>
      <c r="J15" s="16" t="inlineStr">
        <is>
          <t>₩2.7조</t>
        </is>
      </c>
      <c r="K15" s="16" t="inlineStr">
        <is>
          <t>N/A</t>
        </is>
      </c>
      <c r="L15" s="16" t="inlineStr">
        <is>
          <t>N/A</t>
        </is>
      </c>
      <c r="M15" s="18" t="n">
        <v>0.175</v>
      </c>
      <c r="N15" s="17" t="n">
        <v>0.225</v>
      </c>
      <c r="O15" s="16" t="inlineStr">
        <is>
          <t>N/A</t>
        </is>
      </c>
      <c r="P15" s="16" t="inlineStr">
        <is>
          <t>아니오</t>
        </is>
      </c>
    </row>
    <row r="16" ht="18" customHeight="1">
      <c r="A16" s="16" t="n">
        <v>15</v>
      </c>
      <c r="B16" s="16" t="inlineStr">
        <is>
          <t>388210</t>
        </is>
      </c>
      <c r="C16" s="16" t="inlineStr">
        <is>
          <t>씨엠티엑스</t>
        </is>
      </c>
      <c r="D16" s="16" t="n">
        <v>5.8</v>
      </c>
      <c r="E16" s="16" t="n">
        <v>3.18</v>
      </c>
      <c r="F16" s="16" t="n">
        <v>9</v>
      </c>
      <c r="G16" s="16" t="n">
        <v>3.46</v>
      </c>
      <c r="H16" s="16" t="inlineStr">
        <is>
          <t>buy</t>
        </is>
      </c>
      <c r="I16" s="17" t="n">
        <v>0.098</v>
      </c>
      <c r="J16" s="16" t="inlineStr">
        <is>
          <t>₩14,520억</t>
        </is>
      </c>
      <c r="K16" s="16" t="inlineStr">
        <is>
          <t>N/A</t>
        </is>
      </c>
      <c r="L16" s="16" t="inlineStr">
        <is>
          <t>N/A</t>
        </is>
      </c>
      <c r="M16" s="18" t="n">
        <v>-0.118</v>
      </c>
      <c r="N16" s="17" t="n">
        <v>0.478</v>
      </c>
      <c r="O16" s="16" t="inlineStr">
        <is>
          <t>N/A</t>
        </is>
      </c>
      <c r="P16" s="16" t="inlineStr">
        <is>
          <t>아니오</t>
        </is>
      </c>
    </row>
    <row r="17" ht="18" customHeight="1">
      <c r="A17" s="16" t="n">
        <v>16</v>
      </c>
      <c r="B17" s="16" t="inlineStr">
        <is>
          <t>031980</t>
        </is>
      </c>
      <c r="C17" s="16" t="inlineStr">
        <is>
          <t>피에스케이홀딩스</t>
        </is>
      </c>
      <c r="D17" s="16" t="n">
        <v>5.79</v>
      </c>
      <c r="E17" s="16" t="n">
        <v>3.98</v>
      </c>
      <c r="F17" s="16" t="n">
        <v>10</v>
      </c>
      <c r="G17" s="16" t="n">
        <v>4.93</v>
      </c>
      <c r="H17" s="16" t="inlineStr">
        <is>
          <t>buy</t>
        </is>
      </c>
      <c r="I17" s="17" t="n">
        <v>0.09699999999999999</v>
      </c>
      <c r="J17" s="16" t="inlineStr">
        <is>
          <t>₩2.5조</t>
        </is>
      </c>
      <c r="K17" s="16" t="inlineStr">
        <is>
          <t>N/A</t>
        </is>
      </c>
      <c r="L17" s="16" t="inlineStr">
        <is>
          <t>N/A</t>
        </is>
      </c>
      <c r="M17" s="18" t="n">
        <v>0.181</v>
      </c>
      <c r="N17" s="17" t="n">
        <v>-0.036</v>
      </c>
      <c r="O17" s="16" t="inlineStr">
        <is>
          <t>N/A</t>
        </is>
      </c>
      <c r="P17" s="16" t="inlineStr">
        <is>
          <t>아니오</t>
        </is>
      </c>
    </row>
    <row r="18" ht="18" customHeight="1">
      <c r="A18" s="16" t="n">
        <v>17</v>
      </c>
      <c r="B18" s="16" t="inlineStr">
        <is>
          <t>103590</t>
        </is>
      </c>
      <c r="C18" s="16" t="inlineStr">
        <is>
          <t>일진전기</t>
        </is>
      </c>
      <c r="D18" s="16" t="n">
        <v>5.78</v>
      </c>
      <c r="E18" s="16" t="n">
        <v>3.14</v>
      </c>
      <c r="F18" s="16" t="n">
        <v>9</v>
      </c>
      <c r="G18" s="16" t="n">
        <v>3.61</v>
      </c>
      <c r="H18" s="16" t="inlineStr">
        <is>
          <t>buy</t>
        </is>
      </c>
      <c r="I18" s="17" t="n">
        <v>0.09699999999999999</v>
      </c>
      <c r="J18" s="16" t="inlineStr">
        <is>
          <t>₩5.2조</t>
        </is>
      </c>
      <c r="K18" s="16" t="inlineStr">
        <is>
          <t>N/A</t>
        </is>
      </c>
      <c r="L18" s="16" t="inlineStr">
        <is>
          <t>N/A</t>
        </is>
      </c>
      <c r="M18" s="18" t="n">
        <v>0.176</v>
      </c>
      <c r="N18" s="17" t="n">
        <v>0.296</v>
      </c>
      <c r="O18" s="16" t="inlineStr">
        <is>
          <t>N/A</t>
        </is>
      </c>
      <c r="P18" s="16" t="inlineStr">
        <is>
          <t>아니오</t>
        </is>
      </c>
    </row>
    <row r="19" ht="18" customHeight="1">
      <c r="A19" s="16" t="n">
        <v>18</v>
      </c>
      <c r="B19" s="16" t="inlineStr">
        <is>
          <t>443060</t>
        </is>
      </c>
      <c r="C19" s="16" t="inlineStr">
        <is>
          <t>HD현대마린솔루션</t>
        </is>
      </c>
      <c r="D19" s="16" t="n">
        <v>5.76</v>
      </c>
      <c r="E19" s="16" t="n">
        <v>4.37</v>
      </c>
      <c r="F19" s="16" t="n">
        <v>9</v>
      </c>
      <c r="G19" s="16" t="n">
        <v>4.92</v>
      </c>
      <c r="H19" s="16" t="inlineStr">
        <is>
          <t>buy</t>
        </is>
      </c>
      <c r="I19" s="17" t="n">
        <v>0.09699999999999999</v>
      </c>
      <c r="J19" s="16" t="inlineStr">
        <is>
          <t>₩13조</t>
        </is>
      </c>
      <c r="K19" s="16" t="inlineStr">
        <is>
          <t>N/A</t>
        </is>
      </c>
      <c r="L19" s="16" t="inlineStr">
        <is>
          <t>N/A</t>
        </is>
      </c>
      <c r="M19" s="18" t="n">
        <v>0.327</v>
      </c>
      <c r="N19" s="17" t="n">
        <v>0.136</v>
      </c>
      <c r="O19" s="16" t="inlineStr">
        <is>
          <t>N/A</t>
        </is>
      </c>
      <c r="P19" s="16" t="inlineStr">
        <is>
          <t>아니오</t>
        </is>
      </c>
    </row>
    <row r="20" ht="18" customHeight="1">
      <c r="A20" s="16" t="n">
        <v>19</v>
      </c>
      <c r="B20" s="16" t="inlineStr">
        <is>
          <t>082740</t>
        </is>
      </c>
      <c r="C20" s="16" t="inlineStr">
        <is>
          <t>한화엔진</t>
        </is>
      </c>
      <c r="D20" s="16" t="n">
        <v>5.76</v>
      </c>
      <c r="E20" s="16" t="n">
        <v>3.11</v>
      </c>
      <c r="F20" s="16" t="n">
        <v>9</v>
      </c>
      <c r="G20" s="16" t="n">
        <v>3.62</v>
      </c>
      <c r="H20" s="16" t="inlineStr">
        <is>
          <t>buy</t>
        </is>
      </c>
      <c r="I20" s="17" t="n">
        <v>0.09699999999999999</v>
      </c>
      <c r="J20" s="16" t="inlineStr">
        <is>
          <t>₩7.4조</t>
        </is>
      </c>
      <c r="K20" s="16" t="inlineStr">
        <is>
          <t>N/A</t>
        </is>
      </c>
      <c r="L20" s="16" t="inlineStr">
        <is>
          <t>N/A</t>
        </is>
      </c>
      <c r="M20" s="18" t="n">
        <v>0.312</v>
      </c>
      <c r="N20" s="17" t="n">
        <v>0.14</v>
      </c>
      <c r="O20" s="16" t="inlineStr">
        <is>
          <t>N/A</t>
        </is>
      </c>
      <c r="P20" s="16" t="inlineStr">
        <is>
          <t>아니오</t>
        </is>
      </c>
    </row>
    <row r="21" ht="18" customHeight="1">
      <c r="A21" s="16" t="n">
        <v>20</v>
      </c>
      <c r="B21" s="16" t="inlineStr">
        <is>
          <t>229640</t>
        </is>
      </c>
      <c r="C21" s="16" t="inlineStr">
        <is>
          <t>LS에코에너지</t>
        </is>
      </c>
      <c r="D21" s="16" t="n">
        <v>5.76</v>
      </c>
      <c r="E21" s="16" t="n">
        <v>3.11</v>
      </c>
      <c r="F21" s="16" t="n">
        <v>9</v>
      </c>
      <c r="G21" s="16" t="n">
        <v>3.48</v>
      </c>
      <c r="H21" s="16" t="inlineStr">
        <is>
          <t>buy</t>
        </is>
      </c>
      <c r="I21" s="17" t="n">
        <v>0.09699999999999999</v>
      </c>
      <c r="J21" s="16" t="inlineStr">
        <is>
          <t>₩2.1조</t>
        </is>
      </c>
      <c r="K21" s="16" t="inlineStr">
        <is>
          <t>N/A</t>
        </is>
      </c>
      <c r="L21" s="16" t="inlineStr">
        <is>
          <t>N/A</t>
        </is>
      </c>
      <c r="M21" s="18" t="n">
        <v>0.215</v>
      </c>
      <c r="N21" s="17" t="n">
        <v>0.105</v>
      </c>
      <c r="O21" s="16" t="inlineStr">
        <is>
          <t>N/A</t>
        </is>
      </c>
      <c r="P21" s="16" t="inlineStr">
        <is>
          <t>아니오</t>
        </is>
      </c>
    </row>
    <row r="22" ht="18" customHeight="1">
      <c r="A22" s="16" t="n">
        <v>21</v>
      </c>
      <c r="B22" s="16" t="inlineStr">
        <is>
          <t>402340</t>
        </is>
      </c>
      <c r="C22" s="16" t="inlineStr">
        <is>
          <t>SK스퀘어</t>
        </is>
      </c>
      <c r="D22" s="16" t="n">
        <v>5.75</v>
      </c>
      <c r="E22" s="16" t="n">
        <v>4.35</v>
      </c>
      <c r="F22" s="16" t="n">
        <v>9</v>
      </c>
      <c r="G22" s="16" t="n">
        <v>4.95</v>
      </c>
      <c r="H22" s="16" t="inlineStr">
        <is>
          <t>buy</t>
        </is>
      </c>
      <c r="I22" s="17" t="n">
        <v>0.096</v>
      </c>
      <c r="J22" s="16" t="inlineStr">
        <is>
          <t>₩104조</t>
        </is>
      </c>
      <c r="K22" s="16" t="inlineStr">
        <is>
          <t>N/A</t>
        </is>
      </c>
      <c r="L22" s="16" t="inlineStr">
        <is>
          <t>N/A</t>
        </is>
      </c>
      <c r="M22" s="18" t="n">
        <v>0.315</v>
      </c>
      <c r="N22" s="17" t="n">
        <v>-0.144</v>
      </c>
      <c r="O22" s="16" t="inlineStr">
        <is>
          <t>N/A</t>
        </is>
      </c>
      <c r="P22" s="16" t="inlineStr">
        <is>
          <t>아니오</t>
        </is>
      </c>
    </row>
    <row r="23" ht="18" customHeight="1">
      <c r="A23" s="16" t="n">
        <v>22</v>
      </c>
      <c r="B23" s="16" t="inlineStr">
        <is>
          <t>298040</t>
        </is>
      </c>
      <c r="C23" s="16" t="inlineStr">
        <is>
          <t>효성중공업</t>
        </is>
      </c>
      <c r="D23" s="16" t="n">
        <v>5.75</v>
      </c>
      <c r="E23" s="16" t="n">
        <v>3.09</v>
      </c>
      <c r="F23" s="16" t="n">
        <v>9</v>
      </c>
      <c r="G23" s="16" t="n">
        <v>3.65</v>
      </c>
      <c r="H23" s="16" t="inlineStr">
        <is>
          <t>buy</t>
        </is>
      </c>
      <c r="I23" s="17" t="n">
        <v>0.096</v>
      </c>
      <c r="J23" s="16" t="inlineStr">
        <is>
          <t>₩37조</t>
        </is>
      </c>
      <c r="K23" s="16" t="inlineStr">
        <is>
          <t>N/A</t>
        </is>
      </c>
      <c r="L23" s="16" t="inlineStr">
        <is>
          <t>N/A</t>
        </is>
      </c>
      <c r="M23" s="18" t="n">
        <v>0.202</v>
      </c>
      <c r="N23" s="17" t="n">
        <v>0.219</v>
      </c>
      <c r="O23" s="16" t="inlineStr">
        <is>
          <t>N/A</t>
        </is>
      </c>
      <c r="P23" s="16" t="inlineStr">
        <is>
          <t>아니오</t>
        </is>
      </c>
    </row>
    <row r="24" ht="18" customHeight="1">
      <c r="A24" s="16" t="n">
        <v>23</v>
      </c>
      <c r="B24" s="16" t="inlineStr">
        <is>
          <t>007660</t>
        </is>
      </c>
      <c r="C24" s="16" t="inlineStr">
        <is>
          <t>이수페타시스</t>
        </is>
      </c>
      <c r="D24" s="16" t="n">
        <v>5.75</v>
      </c>
      <c r="E24" s="16" t="n">
        <v>4.35</v>
      </c>
      <c r="F24" s="16" t="n">
        <v>9</v>
      </c>
      <c r="G24" s="16" t="n">
        <v>5.15</v>
      </c>
      <c r="H24" s="16" t="inlineStr">
        <is>
          <t>buy</t>
        </is>
      </c>
      <c r="I24" s="17" t="n">
        <v>0.096</v>
      </c>
      <c r="J24" s="16" t="inlineStr">
        <is>
          <t>₩11조</t>
        </is>
      </c>
      <c r="K24" s="16" t="inlineStr">
        <is>
          <t>N/A</t>
        </is>
      </c>
      <c r="L24" s="16" t="inlineStr">
        <is>
          <t>N/A</t>
        </is>
      </c>
      <c r="M24" s="18" t="n">
        <v>0.212</v>
      </c>
      <c r="N24" s="17" t="n">
        <v>0.3</v>
      </c>
      <c r="O24" s="16" t="inlineStr">
        <is>
          <t>N/A</t>
        </is>
      </c>
      <c r="P24" s="16" t="inlineStr">
        <is>
          <t>아니오</t>
        </is>
      </c>
    </row>
    <row r="25" ht="18" customHeight="1">
      <c r="A25" s="7" t="n">
        <v>24</v>
      </c>
      <c r="B25" s="7" t="inlineStr">
        <is>
          <t>403870</t>
        </is>
      </c>
      <c r="C25" s="7" t="inlineStr">
        <is>
          <t>HPSP</t>
        </is>
      </c>
      <c r="D25" s="7" t="n">
        <v>5.71</v>
      </c>
      <c r="E25" s="7" t="n">
        <v>4.3</v>
      </c>
      <c r="F25" s="7" t="n">
        <v>9</v>
      </c>
      <c r="G25" s="7" t="n">
        <v>5.14</v>
      </c>
      <c r="H25" s="7" t="inlineStr">
        <is>
          <t>buy</t>
        </is>
      </c>
      <c r="I25" s="9" t="n">
        <v>0.095</v>
      </c>
      <c r="J25" s="7" t="inlineStr">
        <is>
          <t>₩4.5조</t>
        </is>
      </c>
      <c r="K25" s="7" t="inlineStr">
        <is>
          <t>N/A</t>
        </is>
      </c>
      <c r="L25" s="7" t="inlineStr">
        <is>
          <t>N/A</t>
        </is>
      </c>
      <c r="M25" s="8" t="n">
        <v>0.236</v>
      </c>
      <c r="N25" s="9" t="n">
        <v>-0.047</v>
      </c>
      <c r="O25" s="7" t="inlineStr">
        <is>
          <t>N/A</t>
        </is>
      </c>
      <c r="P25" s="7" t="inlineStr">
        <is>
          <t>예</t>
        </is>
      </c>
    </row>
    <row r="26" ht="18" customHeight="1">
      <c r="A26" s="16" t="n">
        <v>25</v>
      </c>
      <c r="B26" s="16" t="inlineStr">
        <is>
          <t>267260</t>
        </is>
      </c>
      <c r="C26" s="16" t="inlineStr">
        <is>
          <t>HD현대일렉트릭</t>
        </is>
      </c>
      <c r="D26" s="16" t="n">
        <v>5.66</v>
      </c>
      <c r="E26" s="16" t="n">
        <v>4.23</v>
      </c>
      <c r="F26" s="16" t="n">
        <v>9</v>
      </c>
      <c r="G26" s="16" t="n">
        <v>4.76</v>
      </c>
      <c r="H26" s="16" t="inlineStr">
        <is>
          <t>buy</t>
        </is>
      </c>
      <c r="I26" s="17" t="n">
        <v>0.09300000000000001</v>
      </c>
      <c r="J26" s="16" t="inlineStr">
        <is>
          <t>₩47조</t>
        </is>
      </c>
      <c r="K26" s="16" t="inlineStr">
        <is>
          <t>N/A</t>
        </is>
      </c>
      <c r="L26" s="16" t="inlineStr">
        <is>
          <t>N/A</t>
        </is>
      </c>
      <c r="M26" s="18" t="n">
        <v>0.36</v>
      </c>
      <c r="N26" s="17" t="n">
        <v>0.228</v>
      </c>
      <c r="O26" s="16" t="inlineStr">
        <is>
          <t>N/A</t>
        </is>
      </c>
      <c r="P26" s="16" t="inlineStr">
        <is>
          <t>아니오</t>
        </is>
      </c>
    </row>
    <row r="27" ht="18" customHeight="1">
      <c r="A27" s="16" t="n">
        <v>26</v>
      </c>
      <c r="B27" s="16" t="inlineStr">
        <is>
          <t>071970</t>
        </is>
      </c>
      <c r="C27" s="16" t="inlineStr">
        <is>
          <t>HD현대마린엔진</t>
        </is>
      </c>
      <c r="D27" s="16" t="n">
        <v>5.63</v>
      </c>
      <c r="E27" s="16" t="n">
        <v>4.61</v>
      </c>
      <c r="F27" s="16" t="n">
        <v>8</v>
      </c>
      <c r="G27" s="16" t="n">
        <v>5.31</v>
      </c>
      <c r="H27" s="16" t="inlineStr">
        <is>
          <t>buy</t>
        </is>
      </c>
      <c r="I27" s="17" t="n">
        <v>0.092</v>
      </c>
      <c r="J27" s="16" t="inlineStr">
        <is>
          <t>₩3.9조</t>
        </is>
      </c>
      <c r="K27" s="16" t="inlineStr">
        <is>
          <t>N/A</t>
        </is>
      </c>
      <c r="L27" s="16" t="inlineStr">
        <is>
          <t>N/A</t>
        </is>
      </c>
      <c r="M27" s="18" t="n">
        <v>0.338</v>
      </c>
      <c r="N27" s="17" t="n">
        <v>0.274</v>
      </c>
      <c r="O27" s="16" t="inlineStr">
        <is>
          <t>N/A</t>
        </is>
      </c>
      <c r="P27" s="16" t="inlineStr">
        <is>
          <t>아니오</t>
        </is>
      </c>
    </row>
    <row r="28" ht="18" customHeight="1">
      <c r="A28" s="16" t="n">
        <v>27</v>
      </c>
      <c r="B28" s="16" t="inlineStr">
        <is>
          <t>014620</t>
        </is>
      </c>
      <c r="C28" s="16" t="inlineStr">
        <is>
          <t>성광벤드</t>
        </is>
      </c>
      <c r="D28" s="16" t="n">
        <v>5.63</v>
      </c>
      <c r="E28" s="16" t="n">
        <v>2.88</v>
      </c>
      <c r="F28" s="16" t="n">
        <v>9</v>
      </c>
      <c r="G28" s="16" t="n">
        <v>3.36</v>
      </c>
      <c r="H28" s="16" t="inlineStr">
        <is>
          <t>buy</t>
        </is>
      </c>
      <c r="I28" s="17" t="n">
        <v>0.092</v>
      </c>
      <c r="J28" s="16" t="inlineStr">
        <is>
          <t>₩12,827억</t>
        </is>
      </c>
      <c r="K28" s="16" t="inlineStr">
        <is>
          <t>N/A</t>
        </is>
      </c>
      <c r="L28" s="16" t="inlineStr">
        <is>
          <t>N/A</t>
        </is>
      </c>
      <c r="M28" s="18" t="n">
        <v>0.063</v>
      </c>
      <c r="N28" s="17" t="n">
        <v>0.079</v>
      </c>
      <c r="O28" s="16" t="inlineStr">
        <is>
          <t>N/A</t>
        </is>
      </c>
      <c r="P28" s="16" t="inlineStr">
        <is>
          <t>아니오</t>
        </is>
      </c>
    </row>
    <row r="29" ht="18" customHeight="1">
      <c r="A29" s="16" t="n">
        <v>28</v>
      </c>
      <c r="B29" s="16" t="inlineStr">
        <is>
          <t>033100</t>
        </is>
      </c>
      <c r="C29" s="16" t="inlineStr">
        <is>
          <t>제룡전기</t>
        </is>
      </c>
      <c r="D29" s="16" t="n">
        <v>5.62</v>
      </c>
      <c r="E29" s="16" t="n">
        <v>4.17</v>
      </c>
      <c r="F29" s="16" t="n">
        <v>9</v>
      </c>
      <c r="G29" s="16" t="n">
        <v>4.85</v>
      </c>
      <c r="H29" s="16" t="inlineStr">
        <is>
          <t>buy</t>
        </is>
      </c>
      <c r="I29" s="17" t="n">
        <v>0.092</v>
      </c>
      <c r="J29" s="16" t="inlineStr">
        <is>
          <t>₩9,798억</t>
        </is>
      </c>
      <c r="K29" s="16" t="inlineStr">
        <is>
          <t>N/A</t>
        </is>
      </c>
      <c r="L29" s="16" t="inlineStr">
        <is>
          <t>N/A</t>
        </is>
      </c>
      <c r="M29" s="18" t="n">
        <v>0.245</v>
      </c>
      <c r="N29" s="17" t="n">
        <v>-0.147</v>
      </c>
      <c r="O29" s="16" t="inlineStr">
        <is>
          <t>N/A</t>
        </is>
      </c>
      <c r="P29" s="16" t="inlineStr">
        <is>
          <t>아니오</t>
        </is>
      </c>
    </row>
    <row r="30" ht="18" customHeight="1">
      <c r="A30" s="16" t="n">
        <v>29</v>
      </c>
      <c r="B30" s="16" t="inlineStr">
        <is>
          <t>213420</t>
        </is>
      </c>
      <c r="C30" s="16" t="inlineStr">
        <is>
          <t>덕산네오룩스</t>
        </is>
      </c>
      <c r="D30" s="16" t="n">
        <v>5.57</v>
      </c>
      <c r="E30" s="16" t="n">
        <v>3.57</v>
      </c>
      <c r="F30" s="16" t="n">
        <v>8</v>
      </c>
      <c r="G30" s="16" t="n">
        <v>4.26</v>
      </c>
      <c r="H30" s="16" t="inlineStr">
        <is>
          <t>buy</t>
        </is>
      </c>
      <c r="I30" s="17" t="n">
        <v>0.09</v>
      </c>
      <c r="J30" s="16" t="inlineStr">
        <is>
          <t>₩13,458억</t>
        </is>
      </c>
      <c r="K30" s="16" t="inlineStr">
        <is>
          <t>N/A</t>
        </is>
      </c>
      <c r="L30" s="16" t="inlineStr">
        <is>
          <t>N/A</t>
        </is>
      </c>
      <c r="M30" s="18" t="n">
        <v>0.115</v>
      </c>
      <c r="N30" s="17" t="n">
        <v>0.622</v>
      </c>
      <c r="O30" s="16" t="inlineStr">
        <is>
          <t>N/A</t>
        </is>
      </c>
      <c r="P30" s="16" t="inlineStr">
        <is>
          <t>아니오</t>
        </is>
      </c>
    </row>
    <row r="31" ht="18" customHeight="1">
      <c r="A31" s="16" t="n">
        <v>30</v>
      </c>
      <c r="B31" s="16" t="inlineStr">
        <is>
          <t>322000</t>
        </is>
      </c>
      <c r="C31" s="16" t="inlineStr">
        <is>
          <t>HD현대에너지솔루션</t>
        </is>
      </c>
      <c r="D31" s="16" t="n">
        <v>5.55</v>
      </c>
      <c r="E31" s="16" t="n">
        <v>2.73</v>
      </c>
      <c r="F31" s="16" t="n">
        <v>9</v>
      </c>
      <c r="G31" s="16" t="n">
        <v>3.12</v>
      </c>
      <c r="H31" s="16" t="inlineStr">
        <is>
          <t>buy</t>
        </is>
      </c>
      <c r="I31" s="17" t="n">
        <v>0.08900000000000001</v>
      </c>
      <c r="J31" s="16" t="inlineStr">
        <is>
          <t>₩2.1조</t>
        </is>
      </c>
      <c r="K31" s="16" t="inlineStr">
        <is>
          <t>N/A</t>
        </is>
      </c>
      <c r="L31" s="16" t="inlineStr">
        <is>
          <t>N/A</t>
        </is>
      </c>
      <c r="M31" s="18" t="n">
        <v>0.1</v>
      </c>
      <c r="N31" s="17" t="n">
        <v>0.166</v>
      </c>
      <c r="O31" s="16" t="inlineStr">
        <is>
          <t>N/A</t>
        </is>
      </c>
      <c r="P31" s="16" t="inlineStr">
        <is>
          <t>아니오</t>
        </is>
      </c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9" customWidth="1" min="4" max="4"/>
    <col width="10" customWidth="1" min="5" max="5"/>
    <col width="8" customWidth="1" min="6" max="6"/>
    <col width="8" customWidth="1" min="7" max="7"/>
  </cols>
  <sheetData>
    <row r="1" ht="22" customHeight="1">
      <c r="A1" s="6" t="inlineStr">
        <is>
          <t>종목코드</t>
        </is>
      </c>
      <c r="B1" s="6" t="inlineStr">
        <is>
          <t>회사명</t>
        </is>
      </c>
      <c r="C1" s="6" t="inlineStr">
        <is>
          <t>W.Buffett</t>
        </is>
      </c>
      <c r="D1" s="6" t="inlineStr">
        <is>
          <t>P.Lynch</t>
        </is>
      </c>
      <c r="E1" s="6" t="inlineStr">
        <is>
          <t>P.Fisher</t>
        </is>
      </c>
      <c r="F1" s="6" t="inlineStr">
        <is>
          <t>종합신호</t>
        </is>
      </c>
      <c r="G1" s="6" t="inlineStr">
        <is>
          <t>종합신뢰도</t>
        </is>
      </c>
    </row>
    <row r="2" ht="18" customHeight="1">
      <c r="A2" s="16" t="inlineStr">
        <is>
          <t>062040</t>
        </is>
      </c>
      <c r="B2" s="16" t="inlineStr">
        <is>
          <t>산일전기</t>
        </is>
      </c>
      <c r="C2" s="7" t="inlineStr">
        <is>
          <t>매수(72)</t>
        </is>
      </c>
      <c r="D2" s="7" t="inlineStr">
        <is>
          <t>매수(68)</t>
        </is>
      </c>
      <c r="E2" s="7" t="inlineStr">
        <is>
          <t>매수(72)</t>
        </is>
      </c>
      <c r="F2" s="16" t="inlineStr">
        <is>
          <t>강력매수</t>
        </is>
      </c>
      <c r="G2" s="16" t="n">
        <v>71</v>
      </c>
    </row>
    <row r="3" ht="18" customHeight="1">
      <c r="A3" s="16" t="inlineStr">
        <is>
          <t>483650</t>
        </is>
      </c>
      <c r="B3" s="16" t="inlineStr">
        <is>
          <t>달바글로벌</t>
        </is>
      </c>
      <c r="C3" s="10" t="inlineStr">
        <is>
          <t>중립(52)</t>
        </is>
      </c>
      <c r="D3" s="7" t="inlineStr">
        <is>
          <t>매수(72)</t>
        </is>
      </c>
      <c r="E3" s="7" t="inlineStr">
        <is>
          <t>매수(78)</t>
        </is>
      </c>
      <c r="F3" s="16" t="inlineStr">
        <is>
          <t>매수</t>
        </is>
      </c>
      <c r="G3" s="16" t="n">
        <v>67</v>
      </c>
    </row>
    <row r="4" ht="18" customHeight="1">
      <c r="A4" s="16" t="inlineStr">
        <is>
          <t>000660</t>
        </is>
      </c>
      <c r="B4" s="16" t="inlineStr">
        <is>
          <t>SK하이닉스</t>
        </is>
      </c>
      <c r="C4" s="10" t="inlineStr">
        <is>
          <t>중립(52)</t>
        </is>
      </c>
      <c r="D4" s="10" t="inlineStr">
        <is>
          <t>중립(52)</t>
        </is>
      </c>
      <c r="E4" s="7" t="inlineStr">
        <is>
          <t>매수(72)</t>
        </is>
      </c>
      <c r="F4" s="16" t="inlineStr">
        <is>
          <t>보유</t>
        </is>
      </c>
      <c r="G4" s="16" t="n">
        <v>59</v>
      </c>
    </row>
    <row r="5" ht="18" customHeight="1">
      <c r="A5" s="16" t="inlineStr">
        <is>
          <t>082920</t>
        </is>
      </c>
      <c r="B5" s="16" t="inlineStr">
        <is>
          <t>비츠로셀</t>
        </is>
      </c>
      <c r="C5" s="10" t="inlineStr">
        <is>
          <t>중립(52)</t>
        </is>
      </c>
      <c r="D5" s="10" t="inlineStr">
        <is>
          <t>중립(52)</t>
        </is>
      </c>
      <c r="E5" s="10" t="inlineStr">
        <is>
          <t>중립(58)</t>
        </is>
      </c>
      <c r="F5" s="16" t="inlineStr">
        <is>
          <t>보유</t>
        </is>
      </c>
      <c r="G5" s="16" t="n">
        <v>54</v>
      </c>
    </row>
    <row r="6" ht="18" customHeight="1">
      <c r="A6" s="16" t="inlineStr">
        <is>
          <t>171090</t>
        </is>
      </c>
      <c r="B6" s="16" t="inlineStr">
        <is>
          <t>선익시스템</t>
        </is>
      </c>
      <c r="C6" s="10" t="inlineStr">
        <is>
          <t>중립(38)</t>
        </is>
      </c>
      <c r="D6" s="10" t="inlineStr">
        <is>
          <t>중립(45)</t>
        </is>
      </c>
      <c r="E6" s="10" t="inlineStr">
        <is>
          <t>중립(52)</t>
        </is>
      </c>
      <c r="F6" s="16" t="inlineStr">
        <is>
          <t>보유</t>
        </is>
      </c>
      <c r="G6" s="16" t="n">
        <v>45</v>
      </c>
    </row>
    <row r="7" ht="18" customHeight="1">
      <c r="A7" s="16" t="inlineStr">
        <is>
          <t>005930</t>
        </is>
      </c>
      <c r="B7" s="16" t="inlineStr">
        <is>
          <t>삼성전자</t>
        </is>
      </c>
      <c r="C7" s="19" t="inlineStr">
        <is>
          <t>매도(68)</t>
        </is>
      </c>
      <c r="D7" s="19" t="inlineStr">
        <is>
          <t>매도(72)</t>
        </is>
      </c>
      <c r="E7" s="10" t="inlineStr">
        <is>
          <t>중립(52)</t>
        </is>
      </c>
      <c r="F7" s="16" t="inlineStr">
        <is>
          <t>매도</t>
        </is>
      </c>
      <c r="G7" s="16" t="n">
        <v>64</v>
      </c>
    </row>
    <row r="8" ht="18" customHeight="1">
      <c r="A8" s="16" t="inlineStr">
        <is>
          <t>023160</t>
        </is>
      </c>
      <c r="B8" s="16" t="inlineStr">
        <is>
          <t>태광</t>
        </is>
      </c>
      <c r="C8" s="19" t="inlineStr">
        <is>
          <t>매도(72)</t>
        </is>
      </c>
      <c r="D8" s="19" t="inlineStr">
        <is>
          <t>매도(72)</t>
        </is>
      </c>
      <c r="E8" s="19" t="inlineStr">
        <is>
          <t>매도(68)</t>
        </is>
      </c>
      <c r="F8" s="16" t="inlineStr">
        <is>
          <t>매도</t>
        </is>
      </c>
      <c r="G8" s="16" t="n">
        <v>71</v>
      </c>
    </row>
    <row r="9" ht="18" customHeight="1">
      <c r="A9" s="16" t="inlineStr">
        <is>
          <t>101490</t>
        </is>
      </c>
      <c r="B9" s="16" t="inlineStr">
        <is>
          <t>에스앤에스텍</t>
        </is>
      </c>
      <c r="C9" s="19" t="inlineStr">
        <is>
          <t>매도(62)</t>
        </is>
      </c>
      <c r="D9" s="7" t="inlineStr">
        <is>
          <t>매수(72)</t>
        </is>
      </c>
      <c r="E9" s="7" t="inlineStr">
        <is>
          <t>매수(82)</t>
        </is>
      </c>
      <c r="F9" s="16" t="inlineStr">
        <is>
          <t>매수</t>
        </is>
      </c>
      <c r="G9" s="16" t="n">
        <v>72</v>
      </c>
    </row>
    <row r="10" ht="18" customHeight="1">
      <c r="A10" s="16" t="inlineStr">
        <is>
          <t>053610</t>
        </is>
      </c>
      <c r="B10" s="16" t="inlineStr">
        <is>
          <t>프로텍</t>
        </is>
      </c>
      <c r="C10" s="10" t="inlineStr">
        <is>
          <t>중립(38)</t>
        </is>
      </c>
      <c r="D10" s="10" t="inlineStr">
        <is>
          <t>중립(38)</t>
        </is>
      </c>
      <c r="E10" s="10" t="inlineStr">
        <is>
          <t>중립(42)</t>
        </is>
      </c>
      <c r="F10" s="16" t="inlineStr">
        <is>
          <t>보유</t>
        </is>
      </c>
      <c r="G10" s="16" t="n">
        <v>39</v>
      </c>
    </row>
    <row r="11" ht="18" customHeight="1">
      <c r="A11" s="16" t="inlineStr">
        <is>
          <t>278470</t>
        </is>
      </c>
      <c r="B11" s="16" t="inlineStr">
        <is>
          <t>에이피알</t>
        </is>
      </c>
      <c r="C11" s="19" t="inlineStr">
        <is>
          <t>매도(72)</t>
        </is>
      </c>
      <c r="D11" s="7" t="inlineStr">
        <is>
          <t>매수(68)</t>
        </is>
      </c>
      <c r="E11" s="7" t="inlineStr">
        <is>
          <t>매수(78)</t>
        </is>
      </c>
      <c r="F11" s="16" t="inlineStr">
        <is>
          <t>매수</t>
        </is>
      </c>
      <c r="G11" s="16" t="n">
        <v>73</v>
      </c>
    </row>
    <row r="12" ht="18" customHeight="1">
      <c r="A12" s="16" t="inlineStr">
        <is>
          <t>042700</t>
        </is>
      </c>
      <c r="B12" s="16" t="inlineStr">
        <is>
          <t>한미반도체</t>
        </is>
      </c>
      <c r="C12" s="7" t="inlineStr">
        <is>
          <t>매수(72)</t>
        </is>
      </c>
      <c r="D12" s="10" t="inlineStr">
        <is>
          <t>중립(52)</t>
        </is>
      </c>
      <c r="E12" s="7" t="inlineStr">
        <is>
          <t>매수(72)</t>
        </is>
      </c>
      <c r="F12" s="16" t="inlineStr">
        <is>
          <t>매수</t>
        </is>
      </c>
      <c r="G12" s="16" t="n">
        <v>65</v>
      </c>
    </row>
    <row r="13" ht="18" customHeight="1">
      <c r="A13" s="16" t="inlineStr">
        <is>
          <t>039030</t>
        </is>
      </c>
      <c r="B13" s="16" t="inlineStr">
        <is>
          <t>이오테크닉스</t>
        </is>
      </c>
      <c r="C13" s="19" t="inlineStr">
        <is>
          <t>매도(72)</t>
        </is>
      </c>
      <c r="D13" s="19" t="inlineStr">
        <is>
          <t>매도(68)</t>
        </is>
      </c>
      <c r="E13" s="10" t="inlineStr">
        <is>
          <t>중립(42)</t>
        </is>
      </c>
      <c r="F13" s="16" t="inlineStr">
        <is>
          <t>매도</t>
        </is>
      </c>
      <c r="G13" s="16" t="n">
        <v>61</v>
      </c>
    </row>
    <row r="14" ht="18" customHeight="1">
      <c r="A14" s="16" t="inlineStr">
        <is>
          <t>079550</t>
        </is>
      </c>
      <c r="B14" s="16" t="inlineStr">
        <is>
          <t>LIG디펜스앤에어로스페이스</t>
        </is>
      </c>
      <c r="C14" s="19" t="inlineStr">
        <is>
          <t>매도(72)</t>
        </is>
      </c>
      <c r="D14" s="10" t="inlineStr">
        <is>
          <t>중립(48)</t>
        </is>
      </c>
      <c r="E14" s="10" t="inlineStr">
        <is>
          <t>중립(42)</t>
        </is>
      </c>
      <c r="F14" s="16" t="inlineStr">
        <is>
          <t>보유</t>
        </is>
      </c>
      <c r="G14" s="16" t="n">
        <v>54</v>
      </c>
    </row>
    <row r="15" ht="18" customHeight="1">
      <c r="A15" s="16" t="inlineStr">
        <is>
          <t>017960</t>
        </is>
      </c>
      <c r="B15" s="16" t="inlineStr">
        <is>
          <t>한국카본</t>
        </is>
      </c>
      <c r="C15" s="19" t="inlineStr">
        <is>
          <t>매도(30)</t>
        </is>
      </c>
      <c r="D15" s="10" t="inlineStr">
        <is>
          <t>중립(45)</t>
        </is>
      </c>
      <c r="E15" s="10" t="inlineStr">
        <is>
          <t>중립(42)</t>
        </is>
      </c>
      <c r="F15" s="16" t="inlineStr">
        <is>
          <t>보유</t>
        </is>
      </c>
      <c r="G15" s="16" t="n">
        <v>39</v>
      </c>
    </row>
    <row r="16" ht="18" customHeight="1">
      <c r="A16" s="16" t="inlineStr">
        <is>
          <t>388210</t>
        </is>
      </c>
      <c r="B16" s="16" t="inlineStr">
        <is>
          <t>씨엠티엑스</t>
        </is>
      </c>
      <c r="C16" s="19" t="inlineStr">
        <is>
          <t>매도(85)</t>
        </is>
      </c>
      <c r="D16" s="19" t="inlineStr">
        <is>
          <t>매도(78)</t>
        </is>
      </c>
      <c r="E16" s="19" t="inlineStr">
        <is>
          <t>매도(78)</t>
        </is>
      </c>
      <c r="F16" s="16" t="inlineStr">
        <is>
          <t>매도</t>
        </is>
      </c>
      <c r="G16" s="16" t="n">
        <v>80</v>
      </c>
    </row>
    <row r="17" ht="18" customHeight="1">
      <c r="A17" s="16" t="inlineStr">
        <is>
          <t>031980</t>
        </is>
      </c>
      <c r="B17" s="16" t="inlineStr">
        <is>
          <t>피에스케이홀딩스</t>
        </is>
      </c>
      <c r="C17" s="10" t="inlineStr">
        <is>
          <t>중립(58)</t>
        </is>
      </c>
      <c r="D17" s="19" t="inlineStr">
        <is>
          <t>매도(62)</t>
        </is>
      </c>
      <c r="E17" s="10" t="inlineStr">
        <is>
          <t>중립(52)</t>
        </is>
      </c>
      <c r="F17" s="16" t="inlineStr">
        <is>
          <t>보유</t>
        </is>
      </c>
      <c r="G17" s="16" t="n">
        <v>57</v>
      </c>
    </row>
    <row r="18" ht="18" customHeight="1">
      <c r="A18" s="16" t="inlineStr">
        <is>
          <t>103590</t>
        </is>
      </c>
      <c r="B18" s="16" t="inlineStr">
        <is>
          <t>일진전기</t>
        </is>
      </c>
      <c r="C18" s="10" t="inlineStr">
        <is>
          <t>중립(42)</t>
        </is>
      </c>
      <c r="D18" s="10" t="inlineStr">
        <is>
          <t>중립(52)</t>
        </is>
      </c>
      <c r="E18" s="19" t="inlineStr">
        <is>
          <t>매도(72)</t>
        </is>
      </c>
      <c r="F18" s="16" t="inlineStr">
        <is>
          <t>보유</t>
        </is>
      </c>
      <c r="G18" s="16" t="n">
        <v>55</v>
      </c>
    </row>
    <row r="19" ht="18" customHeight="1">
      <c r="A19" s="16" t="inlineStr">
        <is>
          <t>443060</t>
        </is>
      </c>
      <c r="B19" s="16" t="inlineStr">
        <is>
          <t>HD현대마린솔루션</t>
        </is>
      </c>
      <c r="C19" s="10" t="inlineStr">
        <is>
          <t>중립(58)</t>
        </is>
      </c>
      <c r="D19" s="10" t="inlineStr">
        <is>
          <t>중립(52)</t>
        </is>
      </c>
      <c r="E19" s="10" t="inlineStr">
        <is>
          <t>중립(52)</t>
        </is>
      </c>
      <c r="F19" s="16" t="inlineStr">
        <is>
          <t>보유</t>
        </is>
      </c>
      <c r="G19" s="16" t="n">
        <v>54</v>
      </c>
    </row>
    <row r="20" ht="18" customHeight="1">
      <c r="A20" s="16" t="inlineStr">
        <is>
          <t>082740</t>
        </is>
      </c>
      <c r="B20" s="16" t="inlineStr">
        <is>
          <t>한화엔진</t>
        </is>
      </c>
      <c r="C20" s="19" t="inlineStr">
        <is>
          <t>매도(41)</t>
        </is>
      </c>
      <c r="D20" s="10" t="inlineStr">
        <is>
          <t>중립(45)</t>
        </is>
      </c>
      <c r="E20" s="10" t="inlineStr">
        <is>
          <t>중립(48)</t>
        </is>
      </c>
      <c r="F20" s="16" t="inlineStr">
        <is>
          <t>보유</t>
        </is>
      </c>
      <c r="G20" s="16" t="n">
        <v>45</v>
      </c>
    </row>
    <row r="21" ht="18" customHeight="1">
      <c r="A21" s="16" t="inlineStr">
        <is>
          <t>229640</t>
        </is>
      </c>
      <c r="B21" s="16" t="inlineStr">
        <is>
          <t>LS에코에너지</t>
        </is>
      </c>
      <c r="C21" s="19" t="inlineStr">
        <is>
          <t>매도(28)</t>
        </is>
      </c>
      <c r="D21" s="10" t="inlineStr">
        <is>
          <t>중립(42)</t>
        </is>
      </c>
      <c r="E21" s="10" t="inlineStr">
        <is>
          <t>중립(42)</t>
        </is>
      </c>
      <c r="F21" s="16" t="inlineStr">
        <is>
          <t>보유</t>
        </is>
      </c>
      <c r="G21" s="16" t="n">
        <v>37</v>
      </c>
    </row>
    <row r="22" ht="18" customHeight="1">
      <c r="A22" s="16" t="inlineStr">
        <is>
          <t>402340</t>
        </is>
      </c>
      <c r="B22" s="16" t="inlineStr">
        <is>
          <t>SK스퀘어</t>
        </is>
      </c>
      <c r="C22" s="19" t="inlineStr">
        <is>
          <t>매도(72)</t>
        </is>
      </c>
      <c r="D22" s="19" t="inlineStr">
        <is>
          <t>매도(72)</t>
        </is>
      </c>
      <c r="E22" s="10" t="inlineStr">
        <is>
          <t>중립(42)</t>
        </is>
      </c>
      <c r="F22" s="16" t="inlineStr">
        <is>
          <t>매도</t>
        </is>
      </c>
      <c r="G22" s="16" t="n">
        <v>62</v>
      </c>
    </row>
    <row r="23" ht="18" customHeight="1">
      <c r="A23" s="16" t="inlineStr">
        <is>
          <t>298040</t>
        </is>
      </c>
      <c r="B23" s="16" t="inlineStr">
        <is>
          <t>효성중공업</t>
        </is>
      </c>
      <c r="C23" s="19" t="inlineStr">
        <is>
          <t>매도(72)</t>
        </is>
      </c>
      <c r="D23" s="10" t="inlineStr">
        <is>
          <t>중립(55)</t>
        </is>
      </c>
      <c r="E23" s="10" t="inlineStr">
        <is>
          <t>중립(52)</t>
        </is>
      </c>
      <c r="F23" s="16" t="inlineStr">
        <is>
          <t>보유</t>
        </is>
      </c>
      <c r="G23" s="16" t="n">
        <v>60</v>
      </c>
    </row>
    <row r="24" ht="18" customHeight="1">
      <c r="A24" s="16" t="inlineStr">
        <is>
          <t>007660</t>
        </is>
      </c>
      <c r="B24" s="16" t="inlineStr">
        <is>
          <t>이수페타시스</t>
        </is>
      </c>
      <c r="C24" s="10" t="inlineStr">
        <is>
          <t>중립(42)</t>
        </is>
      </c>
      <c r="D24" s="10" t="inlineStr">
        <is>
          <t>중립(52)</t>
        </is>
      </c>
      <c r="E24" s="10" t="inlineStr">
        <is>
          <t>중립(55)</t>
        </is>
      </c>
      <c r="F24" s="16" t="inlineStr">
        <is>
          <t>보유</t>
        </is>
      </c>
      <c r="G24" s="16" t="n">
        <v>50</v>
      </c>
    </row>
    <row r="25" ht="18" customHeight="1">
      <c r="A25" s="16" t="inlineStr">
        <is>
          <t>403870</t>
        </is>
      </c>
      <c r="B25" s="16" t="inlineStr">
        <is>
          <t>HPSP</t>
        </is>
      </c>
      <c r="C25" s="7" t="inlineStr">
        <is>
          <t>매수(62)</t>
        </is>
      </c>
      <c r="D25" s="10" t="inlineStr">
        <is>
          <t>중립(52)</t>
        </is>
      </c>
      <c r="E25" s="7" t="inlineStr">
        <is>
          <t>매수(78)</t>
        </is>
      </c>
      <c r="F25" s="16" t="inlineStr">
        <is>
          <t>매수</t>
        </is>
      </c>
      <c r="G25" s="16" t="n">
        <v>64</v>
      </c>
    </row>
    <row r="26" ht="18" customHeight="1">
      <c r="A26" s="16" t="inlineStr">
        <is>
          <t>267260</t>
        </is>
      </c>
      <c r="B26" s="16" t="inlineStr">
        <is>
          <t>HD현대일렉트릭</t>
        </is>
      </c>
      <c r="C26" s="19" t="inlineStr">
        <is>
          <t>매도(82)</t>
        </is>
      </c>
      <c r="D26" s="10" t="inlineStr">
        <is>
          <t>중립(52)</t>
        </is>
      </c>
      <c r="E26" s="10" t="inlineStr">
        <is>
          <t>중립(52)</t>
        </is>
      </c>
      <c r="F26" s="16" t="inlineStr">
        <is>
          <t>보유</t>
        </is>
      </c>
      <c r="G26" s="16" t="n">
        <v>62</v>
      </c>
    </row>
    <row r="27" ht="18" customHeight="1">
      <c r="A27" s="16" t="inlineStr">
        <is>
          <t>071970</t>
        </is>
      </c>
      <c r="B27" s="16" t="inlineStr">
        <is>
          <t>HD현대마린엔진</t>
        </is>
      </c>
      <c r="C27" s="10" t="inlineStr">
        <is>
          <t>중립(52)</t>
        </is>
      </c>
      <c r="D27" s="10" t="inlineStr">
        <is>
          <t>중립(42)</t>
        </is>
      </c>
      <c r="E27" s="7" t="inlineStr">
        <is>
          <t>매수(72)</t>
        </is>
      </c>
      <c r="F27" s="16" t="inlineStr">
        <is>
          <t>보유</t>
        </is>
      </c>
      <c r="G27" s="16" t="n">
        <v>55</v>
      </c>
    </row>
    <row r="28" ht="18" customHeight="1">
      <c r="A28" s="16" t="inlineStr">
        <is>
          <t>014620</t>
        </is>
      </c>
      <c r="B28" s="16" t="inlineStr">
        <is>
          <t>성광벤드</t>
        </is>
      </c>
      <c r="C28" s="19" t="inlineStr">
        <is>
          <t>매도(72)</t>
        </is>
      </c>
      <c r="D28" s="19" t="inlineStr">
        <is>
          <t>매도(78)</t>
        </is>
      </c>
      <c r="E28" s="19" t="inlineStr">
        <is>
          <t>매도(72)</t>
        </is>
      </c>
      <c r="F28" s="16" t="inlineStr">
        <is>
          <t>매도</t>
        </is>
      </c>
      <c r="G28" s="16" t="n">
        <v>74</v>
      </c>
    </row>
    <row r="29" ht="18" customHeight="1">
      <c r="A29" s="16" t="inlineStr">
        <is>
          <t>033100</t>
        </is>
      </c>
      <c r="B29" s="16" t="inlineStr">
        <is>
          <t>제룡전기</t>
        </is>
      </c>
      <c r="C29" s="10" t="inlineStr">
        <is>
          <t>중립(37)</t>
        </is>
      </c>
      <c r="D29" s="19" t="inlineStr">
        <is>
          <t>매도(72)</t>
        </is>
      </c>
      <c r="E29" s="19" t="inlineStr">
        <is>
          <t>매도(62)</t>
        </is>
      </c>
      <c r="F29" s="16" t="inlineStr">
        <is>
          <t>매도</t>
        </is>
      </c>
      <c r="G29" s="16" t="n">
        <v>57</v>
      </c>
    </row>
    <row r="30" ht="18" customHeight="1">
      <c r="A30" s="16" t="inlineStr">
        <is>
          <t>213420</t>
        </is>
      </c>
      <c r="B30" s="16" t="inlineStr">
        <is>
          <t>덕산네오룩스</t>
        </is>
      </c>
      <c r="C30" s="19" t="inlineStr">
        <is>
          <t>매도(72)</t>
        </is>
      </c>
      <c r="D30" s="19" t="inlineStr">
        <is>
          <t>매도(62)</t>
        </is>
      </c>
      <c r="E30" s="10" t="inlineStr">
        <is>
          <t>중립(42)</t>
        </is>
      </c>
      <c r="F30" s="16" t="inlineStr">
        <is>
          <t>매도</t>
        </is>
      </c>
      <c r="G30" s="16" t="n">
        <v>59</v>
      </c>
    </row>
    <row r="31" ht="18" customHeight="1">
      <c r="A31" s="16" t="inlineStr">
        <is>
          <t>322000</t>
        </is>
      </c>
      <c r="B31" s="16" t="inlineStr">
        <is>
          <t>HD현대에너지솔루션</t>
        </is>
      </c>
      <c r="C31" s="19" t="inlineStr">
        <is>
          <t>매도(72)</t>
        </is>
      </c>
      <c r="D31" s="19" t="inlineStr">
        <is>
          <t>매도(72)</t>
        </is>
      </c>
      <c r="E31" s="19" t="inlineStr">
        <is>
          <t>매도(72)</t>
        </is>
      </c>
      <c r="F31" s="16" t="inlineStr">
        <is>
          <t>매도</t>
        </is>
      </c>
      <c r="G31" s="16" t="n">
        <v>72</v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8" customWidth="1" min="4" max="4"/>
    <col width="8" customWidth="1" min="5" max="5"/>
    <col width="110" customWidth="1" min="6" max="6"/>
  </cols>
  <sheetData>
    <row r="1" ht="22" customHeight="1">
      <c r="A1" s="6" t="inlineStr">
        <is>
          <t>종목코드</t>
        </is>
      </c>
      <c r="B1" s="6" t="inlineStr">
        <is>
          <t>회사명</t>
        </is>
      </c>
      <c r="C1" s="6" t="inlineStr">
        <is>
          <t>투자자</t>
        </is>
      </c>
      <c r="D1" s="6" t="inlineStr">
        <is>
          <t>신호</t>
        </is>
      </c>
      <c r="E1" s="6" t="inlineStr">
        <is>
          <t>신뢰도</t>
        </is>
      </c>
      <c r="F1" s="6" t="inlineStr">
        <is>
          <t>분석근거 (LLM 에이전트)</t>
        </is>
      </c>
    </row>
    <row r="2" ht="18" customHeight="1">
      <c r="A2" s="16" t="inlineStr">
        <is>
          <t>062040</t>
        </is>
      </c>
      <c r="B2" s="16" t="inlineStr">
        <is>
          <t>산일전기</t>
        </is>
      </c>
      <c r="C2" s="16" t="inlineStr">
        <is>
          <t>Warren Buffett</t>
        </is>
      </c>
      <c r="D2" s="7" t="inlineStr">
        <is>
          <t>매수</t>
        </is>
      </c>
      <c r="E2" s="16" t="n">
        <v>72</v>
      </c>
      <c r="F2" s="20" t="inlineStr">
        <is>
          <t>ROE 25.4%와 ROIC 24%는 강력한 경제적 해자와 자본 효율성을 입증하며, AI 데이터센터 수혜 업종에서 50% 이상의 매출 성장은 지속 가능한 경쟁 우위를 시사. 다만 P/E·PEG 부재로 안전마진 정량 검증 불가.</t>
        </is>
      </c>
    </row>
    <row r="3" ht="18" customHeight="1">
      <c r="A3" s="16" t="inlineStr">
        <is>
          <t>062040</t>
        </is>
      </c>
      <c r="B3" s="16" t="inlineStr">
        <is>
          <t>산일전기</t>
        </is>
      </c>
      <c r="C3" s="16" t="inlineStr">
        <is>
          <t>Peter Lynch</t>
        </is>
      </c>
      <c r="D3" s="7" t="inlineStr">
        <is>
          <t>매수</t>
        </is>
      </c>
      <c r="E3" s="16" t="n">
        <v>68</v>
      </c>
      <c r="F3" s="20" t="inlineStr">
        <is>
          <t>AI 데이터센터와 미국 송전망 수요라는 명확한 성장 스토리를 가진 Fast Grower로 매출 +50%, ROE 25%는 "이해하기 쉬운 비즈니스의 폭발적 성장" 조건에 부합. PEG 부재로 GARP 핵심 검증 불가.</t>
        </is>
      </c>
    </row>
    <row r="4" ht="18" customHeight="1">
      <c r="A4" s="16" t="inlineStr">
        <is>
          <t>062040</t>
        </is>
      </c>
      <c r="B4" s="16" t="inlineStr">
        <is>
          <t>산일전기</t>
        </is>
      </c>
      <c r="C4" s="16" t="inlineStr">
        <is>
          <t>Phil Fisher</t>
        </is>
      </c>
      <c r="D4" s="7" t="inlineStr">
        <is>
          <t>매수</t>
        </is>
      </c>
      <c r="E4" s="16" t="n">
        <v>72</v>
      </c>
      <c r="F4" s="20" t="inlineStr">
        <is>
          <t>ROE 25.4%, 영업마진 35.6%, 매출성장 50.3%로 피셔 핵심 기준인 고수익 성장 기업의 특징을 명확히 충족. AI 데이터센터 전력 인프라 수요 메가트렌드가 수년간 성장 동력 보장. R&amp;D 투자 데이터 부재로 새 성장원 개발 의지 검증 어려움.</t>
        </is>
      </c>
    </row>
    <row r="5" ht="18" customHeight="1">
      <c r="A5" s="16" t="inlineStr">
        <is>
          <t>483650</t>
        </is>
      </c>
      <c r="B5" s="16" t="inlineStr">
        <is>
          <t>달바글로벌</t>
        </is>
      </c>
      <c r="C5" s="16" t="inlineStr">
        <is>
          <t>Warren Buffett</t>
        </is>
      </c>
      <c r="D5" s="10" t="inlineStr">
        <is>
          <t>중립</t>
        </is>
      </c>
      <c r="E5" s="16" t="n">
        <v>52</v>
      </c>
      <c r="F5" s="20" t="inlineStr">
        <is>
          <t>ROE 40%, 매출성장 68%로 비즈니스 품질은 탁월하나 P/E·PEG가 N/A로 안전마진 검증 불가. K-beauty 브랜드 해자는 인정되나 가격 검증 없이 매수 어려움.</t>
        </is>
      </c>
    </row>
    <row r="6" ht="18" customHeight="1">
      <c r="A6" s="16" t="inlineStr">
        <is>
          <t>483650</t>
        </is>
      </c>
      <c r="B6" s="16" t="inlineStr">
        <is>
          <t>달바글로벌</t>
        </is>
      </c>
      <c r="C6" s="16" t="inlineStr">
        <is>
          <t>Peter Lynch</t>
        </is>
      </c>
      <c r="D6" s="7" t="inlineStr">
        <is>
          <t>매수</t>
        </is>
      </c>
      <c r="E6" s="16" t="n">
        <v>72</v>
      </c>
      <c r="F6" s="20" t="inlineStr">
        <is>
          <t>매출 +68%, ROE 39.8%의 전형적 Fast Grower이며 ₩2.9조 시가총액은 10배 잠재력 남은 중형주 구간. K-뷰티는 "누구나 아는 소비재"로 글로벌 확장 스토리 명확.</t>
        </is>
      </c>
    </row>
    <row r="7" ht="18" customHeight="1">
      <c r="A7" s="16" t="inlineStr">
        <is>
          <t>483650</t>
        </is>
      </c>
      <c r="B7" s="16" t="inlineStr">
        <is>
          <t>달바글로벌</t>
        </is>
      </c>
      <c r="C7" s="16" t="inlineStr">
        <is>
          <t>Phil Fisher</t>
        </is>
      </c>
      <c r="D7" s="7" t="inlineStr">
        <is>
          <t>매수</t>
        </is>
      </c>
      <c r="E7" s="16" t="n">
        <v>78</v>
      </c>
      <c r="F7" s="20" t="inlineStr">
        <is>
          <t>68% 매출 고성장과 ROE 39.8%는 피셔의 "수년간 성장 가능한 제품과 높은 영업 효율성" 조건 충족, K-뷰티 글로벌 확장이 장기 성장 동력. 마케팅 집중형 비즈니스의 R&amp;D 투자 비율 검증 필요.</t>
        </is>
      </c>
    </row>
    <row r="8" ht="18" customHeight="1">
      <c r="A8" s="16" t="inlineStr">
        <is>
          <t>000660</t>
        </is>
      </c>
      <c r="B8" s="16" t="inlineStr">
        <is>
          <t>SK하이닉스</t>
        </is>
      </c>
      <c r="C8" s="16" t="inlineStr">
        <is>
          <t>Warren Buffett</t>
        </is>
      </c>
      <c r="D8" s="10" t="inlineStr">
        <is>
          <t>중립</t>
        </is>
      </c>
      <c r="E8" s="16" t="n">
        <v>52</v>
      </c>
      <c r="F8" s="20" t="inlineStr">
        <is>
          <t>HBM 시장 지배력과 ROE 35.6%는 강하나 반도체 사이클성으로 10년 후 해자 유지 불확실. 시가총액 921조는 이미 고성장을 반영해 fair price 조건 미충족.</t>
        </is>
      </c>
    </row>
    <row r="9" ht="18" customHeight="1">
      <c r="A9" s="16" t="inlineStr">
        <is>
          <t>000660</t>
        </is>
      </c>
      <c r="B9" s="16" t="inlineStr">
        <is>
          <t>SK하이닉스</t>
        </is>
      </c>
      <c r="C9" s="16" t="inlineStr">
        <is>
          <t>Peter Lynch</t>
        </is>
      </c>
      <c r="D9" s="10" t="inlineStr">
        <is>
          <t>중립</t>
        </is>
      </c>
      <c r="E9" s="16" t="n">
        <v>52</v>
      </c>
      <c r="F9" s="20" t="inlineStr">
        <is>
          <t>HBM 1위와 매출성장 47% 보유하나 ₩921조 메가캡으로 10-Bagger 가능성 원천 차단. 메모리는 cyclical로 사이클 고점 진입 여부 검증 불가.</t>
        </is>
      </c>
    </row>
    <row r="10" ht="18" customHeight="1">
      <c r="A10" s="16" t="inlineStr">
        <is>
          <t>000660</t>
        </is>
      </c>
      <c r="B10" s="16" t="inlineStr">
        <is>
          <t>SK하이닉스</t>
        </is>
      </c>
      <c r="C10" s="16" t="inlineStr">
        <is>
          <t>Phil Fisher</t>
        </is>
      </c>
      <c r="D10" s="7" t="inlineStr">
        <is>
          <t>매수</t>
        </is>
      </c>
      <c r="E10" s="16" t="n">
        <v>72</v>
      </c>
      <c r="F10" s="20" t="inlineStr">
        <is>
          <t>HBM3E 기술 리더십과 AI 인프라 수요 확대는 "수년간 성장 가능한 제품" 조건 충족, 매출 46.8% 성장과 ROE 35.6%는 R&amp;D 실행력 입증. 반도체 사이클성과 거대 capex 부담 모니터링 필요.</t>
        </is>
      </c>
    </row>
    <row r="11" ht="18" customHeight="1">
      <c r="A11" s="16" t="inlineStr">
        <is>
          <t>082920</t>
        </is>
      </c>
      <c r="B11" s="16" t="inlineStr">
        <is>
          <t>비츠로셀</t>
        </is>
      </c>
      <c r="C11" s="16" t="inlineStr">
        <is>
          <t>Warren Buffett</t>
        </is>
      </c>
      <c r="D11" s="10" t="inlineStr">
        <is>
          <t>중립</t>
        </is>
      </c>
      <c r="E11" s="16" t="n">
        <v>52</v>
      </c>
      <c r="F11" s="20" t="inlineStr">
        <is>
          <t>ROE 17.2%로 품질 양호하나 P/E 부재로 안전마진 산정 불가. 1차전지(방산)는 Circle of Competence 밖이며 정부예산 의존도와 기술변화 리스크 존재.</t>
        </is>
      </c>
    </row>
    <row r="12" ht="18" customHeight="1">
      <c r="A12" s="16" t="inlineStr">
        <is>
          <t>082920</t>
        </is>
      </c>
      <c r="B12" s="16" t="inlineStr">
        <is>
          <t>비츠로셀</t>
        </is>
      </c>
      <c r="C12" s="16" t="inlineStr">
        <is>
          <t>Peter Lynch</t>
        </is>
      </c>
      <c r="D12" s="10" t="inlineStr">
        <is>
          <t>중립</t>
        </is>
      </c>
      <c r="E12" s="16" t="n">
        <v>52</v>
      </c>
      <c r="F12" s="20" t="inlineStr">
        <is>
          <t>군용 1차전지 방산 niche이나 매출성장 15.3%는 Fast Grower 기준(20%+) 미달. P/E 부재로 GARP 확신 어렵고 niche 시장 성장 한계로 10-Bagger 제한적.</t>
        </is>
      </c>
    </row>
    <row r="13" ht="18" customHeight="1">
      <c r="A13" s="16" t="inlineStr">
        <is>
          <t>082920</t>
        </is>
      </c>
      <c r="B13" s="16" t="inlineStr">
        <is>
          <t>비츠로셀</t>
        </is>
      </c>
      <c r="C13" s="16" t="inlineStr">
        <is>
          <t>Phil Fisher</t>
        </is>
      </c>
      <c r="D13" s="10" t="inlineStr">
        <is>
          <t>중립</t>
        </is>
      </c>
      <c r="E13" s="16" t="n">
        <v>58</v>
      </c>
      <c r="F13" s="20" t="inlineStr">
        <is>
          <t>매출성장 15.3%·ROE 17.2%는 최소 임계선 부합하나 방산 1차전지 niche는 정부 조달 의존도가 높아 자생적 R&amp;D 성장 동력 제한적. 단일 고객(군) 집중 리스크.</t>
        </is>
      </c>
    </row>
    <row r="14" ht="18" customHeight="1">
      <c r="A14" s="16" t="inlineStr">
        <is>
          <t>171090</t>
        </is>
      </c>
      <c r="B14" s="16" t="inlineStr">
        <is>
          <t>선익시스템</t>
        </is>
      </c>
      <c r="C14" s="16" t="inlineStr">
        <is>
          <t>Warren Buffett</t>
        </is>
      </c>
      <c r="D14" s="10" t="inlineStr">
        <is>
          <t>중립</t>
        </is>
      </c>
      <c r="E14" s="16" t="n">
        <v>38</v>
      </c>
      <c r="F14" s="20" t="inlineStr">
        <is>
          <t>OLED 증착장비는 Circle of Competence 밖이며 +357% 매출성장은 일회성/저점기저효과 가능성 높음. 장비주 사이클 특성상 지속 가능한 moat로 보기 어려움.</t>
        </is>
      </c>
    </row>
    <row r="15" ht="18" customHeight="1">
      <c r="A15" s="16" t="inlineStr">
        <is>
          <t>171090</t>
        </is>
      </c>
      <c r="B15" s="16" t="inlineStr">
        <is>
          <t>선익시스템</t>
        </is>
      </c>
      <c r="C15" s="16" t="inlineStr">
        <is>
          <t>Peter Lynch</t>
        </is>
      </c>
      <c r="D15" s="10" t="inlineStr">
        <is>
          <t>중립</t>
        </is>
      </c>
      <c r="E15" s="16" t="n">
        <v>45</v>
      </c>
      <c r="F15" s="20" t="inlineStr">
        <is>
          <t>OLED 증착장비 + ₩1.2조 시가총액으로 10-Bagger 후보이나 매출 +357% 급등은 일회성 가능성 높고 PEG 검증 불가. 이익 안정성 검증 전 Fast Grower 확신 어려움.</t>
        </is>
      </c>
    </row>
    <row r="16" ht="18" customHeight="1">
      <c r="A16" s="16" t="inlineStr">
        <is>
          <t>171090</t>
        </is>
      </c>
      <c r="B16" s="16" t="inlineStr">
        <is>
          <t>선익시스템</t>
        </is>
      </c>
      <c r="C16" s="16" t="inlineStr">
        <is>
          <t>Phil Fisher</t>
        </is>
      </c>
      <c r="D16" s="10" t="inlineStr">
        <is>
          <t>중립</t>
        </is>
      </c>
      <c r="E16" s="16" t="n">
        <v>52</v>
      </c>
      <c r="F16" s="20" t="inlineStr">
        <is>
          <t>OLED 증착장비라는 기술 집약적 niche에서 독보적 포지션이나 매출 +357%는 일회성 수주 가능성 높아 sustainable compounding 아닌 듯. scuttlebutt 검증 없이 outstanding company 확신 어려움.</t>
        </is>
      </c>
    </row>
    <row r="17" ht="18" customHeight="1">
      <c r="A17" s="16" t="inlineStr">
        <is>
          <t>005930</t>
        </is>
      </c>
      <c r="B17" s="16" t="inlineStr">
        <is>
          <t>삼성전자</t>
        </is>
      </c>
      <c r="C17" s="16" t="inlineStr">
        <is>
          <t>Warren Buffett</t>
        </is>
      </c>
      <c r="D17" s="19" t="inlineStr">
        <is>
          <t>매도</t>
        </is>
      </c>
      <c r="E17" s="16" t="n">
        <v>68</v>
      </c>
      <c r="F17" s="20" t="inlineStr">
        <is>
          <t>ROE 10.4%는 버핏 최소 기준 15%에 미달하고 4년간 영업이익률이 2.5%~14.4%로 극심 변동. Owner Earnings DCF 기준 내재가치 대비 시가총액이 57% 고평가.</t>
        </is>
      </c>
    </row>
    <row r="18" ht="18" customHeight="1">
      <c r="A18" s="16" t="inlineStr">
        <is>
          <t>005930</t>
        </is>
      </c>
      <c r="B18" s="16" t="inlineStr">
        <is>
          <t>삼성전자</t>
        </is>
      </c>
      <c r="C18" s="16" t="inlineStr">
        <is>
          <t>Peter Lynch</t>
        </is>
      </c>
      <c r="D18" s="19" t="inlineStr">
        <is>
          <t>매도</t>
        </is>
      </c>
      <c r="E18" s="16" t="n">
        <v>72</v>
      </c>
      <c r="F18" s="20" t="inlineStr">
        <is>
          <t>메가캡으로 10-Bagger 원천 차단, ROE 10.4%는 GARP 기준(15%+) 미달, P/E 부재로 PEG 계산 불가능. 메모리/파운드리는 전형적 Cyclical.</t>
        </is>
      </c>
    </row>
    <row r="19" ht="18" customHeight="1">
      <c r="A19" s="16" t="inlineStr">
        <is>
          <t>005930</t>
        </is>
      </c>
      <c r="B19" s="16" t="inlineStr">
        <is>
          <t>삼성전자</t>
        </is>
      </c>
      <c r="C19" s="16" t="inlineStr">
        <is>
          <t>Phil Fisher</t>
        </is>
      </c>
      <c r="D19" s="10" t="inlineStr">
        <is>
          <t>중립</t>
        </is>
      </c>
      <c r="E19" s="16" t="n">
        <v>52</v>
      </c>
      <c r="F19" s="20" t="inlineStr">
        <is>
          <t>연 24조원 R&amp;D 투자와 메모리 시장 지배력은 피셔 체크리스트 충족하나 ROE 10.4%와 펀더 3.2는 "평균 이상 마진" 미달. 파운드리에서 TSMC 대비 R&amp;D 효율성 격차로 장기 성장 지속성 의문.</t>
        </is>
      </c>
    </row>
    <row r="20" ht="18" customHeight="1">
      <c r="A20" s="16" t="inlineStr">
        <is>
          <t>023160</t>
        </is>
      </c>
      <c r="B20" s="16" t="inlineStr">
        <is>
          <t>태광</t>
        </is>
      </c>
      <c r="C20" s="16" t="inlineStr">
        <is>
          <t>Warren Buffett</t>
        </is>
      </c>
      <c r="D20" s="19" t="inlineStr">
        <is>
          <t>매도</t>
        </is>
      </c>
      <c r="E20" s="16" t="n">
        <v>72</v>
      </c>
      <c r="F20" s="20" t="inlineStr">
        <is>
          <t>ROE 9.8%로 버핏 최소 기준 15% 미달. 조선/플랜트 사이클 의존 배관부품은 영원히 보유할 수 없는 cyclical 비즈니스 구조.</t>
        </is>
      </c>
    </row>
    <row r="21" ht="18" customHeight="1">
      <c r="A21" s="16" t="inlineStr">
        <is>
          <t>023160</t>
        </is>
      </c>
      <c r="B21" s="16" t="inlineStr">
        <is>
          <t>태광</t>
        </is>
      </c>
      <c r="C21" s="16" t="inlineStr">
        <is>
          <t>Peter Lynch</t>
        </is>
      </c>
      <c r="D21" s="19" t="inlineStr">
        <is>
          <t>매도</t>
        </is>
      </c>
      <c r="E21" s="16" t="n">
        <v>72</v>
      </c>
      <c r="F21" s="20" t="inlineStr">
        <is>
          <t>조선/플랜트에 민감한 Cyclical로 ROE 9.8%는 Lynch 기준선 미달. 매출 둔화로 GARP 미달, P/E·PEG 산출 불가로 적정가 판단 불가.</t>
        </is>
      </c>
    </row>
    <row r="22" ht="18" customHeight="1">
      <c r="A22" s="16" t="inlineStr">
        <is>
          <t>023160</t>
        </is>
      </c>
      <c r="B22" s="16" t="inlineStr">
        <is>
          <t>태광</t>
        </is>
      </c>
      <c r="C22" s="16" t="inlineStr">
        <is>
          <t>Phil Fisher</t>
        </is>
      </c>
      <c r="D22" s="19" t="inlineStr">
        <is>
          <t>매도</t>
        </is>
      </c>
      <c r="E22" s="16" t="n">
        <v>68</v>
      </c>
      <c r="F22" s="20" t="inlineStr">
        <is>
          <t>조선/플랜트 산업용 피팅으로 지속적 R&amp;D 투자와 장기 성장 동력 미확인, 펀더 3.1은 "탁월한 소수 기업" 미달. 매출 둔화와 사이클리컬 산업 특성상 5~10년 복리 성장 의문.</t>
        </is>
      </c>
    </row>
    <row r="23" ht="18" customHeight="1">
      <c r="A23" s="16" t="inlineStr">
        <is>
          <t>101490</t>
        </is>
      </c>
      <c r="B23" s="16" t="inlineStr">
        <is>
          <t>에스앤에스텍</t>
        </is>
      </c>
      <c r="C23" s="16" t="inlineStr">
        <is>
          <t>Warren Buffett</t>
        </is>
      </c>
      <c r="D23" s="19" t="inlineStr">
        <is>
          <t>매도</t>
        </is>
      </c>
      <c r="E23" s="16" t="n">
        <v>62</v>
      </c>
      <c r="F23" s="20" t="inlineStr">
        <is>
          <t>EUV 블랭크마스크 국내 독점 가능성은 인정하나 5년 ROE 일관성 미달. Owner Earnings DCF 기준 내재가치 대비 현재 시가총액이 2배 이상으로 안전마진 전무.</t>
        </is>
      </c>
    </row>
    <row r="24" ht="18" customHeight="1">
      <c r="A24" s="16" t="inlineStr">
        <is>
          <t>101490</t>
        </is>
      </c>
      <c r="B24" s="16" t="inlineStr">
        <is>
          <t>에스앤에스텍</t>
        </is>
      </c>
      <c r="C24" s="16" t="inlineStr">
        <is>
          <t>Peter Lynch</t>
        </is>
      </c>
      <c r="D24" s="7" t="inlineStr">
        <is>
          <t>매수</t>
        </is>
      </c>
      <c r="E24" s="16" t="n">
        <v>72</v>
      </c>
      <c r="F24" s="20" t="inlineStr">
        <is>
          <t>매출 +38.5%, ROE 19.1%의 Fast Grower 프로파일에 EUV 블랭크마스크 국내 유일 공급자라는 강력한 niche 독점. PEG 검증 불가는 신뢰도 제한.</t>
        </is>
      </c>
    </row>
    <row r="25" ht="18" customHeight="1">
      <c r="A25" s="16" t="inlineStr">
        <is>
          <t>101490</t>
        </is>
      </c>
      <c r="B25" s="16" t="inlineStr">
        <is>
          <t>에스앤에스텍</t>
        </is>
      </c>
      <c r="C25" s="16" t="inlineStr">
        <is>
          <t>Phil Fisher</t>
        </is>
      </c>
      <c r="D25" s="7" t="inlineStr">
        <is>
          <t>매수</t>
        </is>
      </c>
      <c r="E25" s="16" t="n">
        <v>82</v>
      </c>
      <c r="F25" s="20" t="inlineStr">
        <is>
          <t>EUV 블랭크마스크 국내 유일 공급자로 "경쟁자가 모방할 수 없는 기술적 해자" 충족, 38.5% 매출성장과 ROE 19.1%는 장기 성장주 조건 명확 입증. 반도체 초미세공정 전환 수혜로 향후 5-10년 지속 성장 가능.</t>
        </is>
      </c>
    </row>
    <row r="26" ht="18" customHeight="1">
      <c r="A26" s="16" t="inlineStr">
        <is>
          <t>053610</t>
        </is>
      </c>
      <c r="B26" s="16" t="inlineStr">
        <is>
          <t>프로텍</t>
        </is>
      </c>
      <c r="C26" s="16" t="inlineStr">
        <is>
          <t>Warren Buffett</t>
        </is>
      </c>
      <c r="D26" s="10" t="inlineStr">
        <is>
          <t>중립</t>
        </is>
      </c>
      <c r="E26" s="16" t="n">
        <v>38</v>
      </c>
      <c r="F26" s="20" t="inlineStr">
        <is>
          <t>ROE 10%는 기준 미달이며 반도체 장비업은 자본집약적 사이클 산업. 모멘텀은 시장심리일 뿐 안전마진 없이 매수 근거 부족.</t>
        </is>
      </c>
    </row>
    <row r="27" ht="18" customHeight="1">
      <c r="A27" s="16" t="inlineStr">
        <is>
          <t>053610</t>
        </is>
      </c>
      <c r="B27" s="16" t="inlineStr">
        <is>
          <t>프로텍</t>
        </is>
      </c>
      <c r="C27" s="16" t="inlineStr">
        <is>
          <t>Peter Lynch</t>
        </is>
      </c>
      <c r="D27" s="10" t="inlineStr">
        <is>
          <t>중립</t>
        </is>
      </c>
      <c r="E27" s="16" t="n">
        <v>38</v>
      </c>
      <c r="F27" s="20" t="inlineStr">
        <is>
          <t>반도체 후공정 장비 Cyclical 특성, ROE 10%는 GARP 기준 미달. 모멘텀은 사이클 상승 시사하나 펀더 3.8과 Lynch 2.7로 확신 어려움.</t>
        </is>
      </c>
    </row>
    <row r="28" ht="18" customHeight="1">
      <c r="A28" s="16" t="inlineStr">
        <is>
          <t>053610</t>
        </is>
      </c>
      <c r="B28" s="16" t="inlineStr">
        <is>
          <t>프로텍</t>
        </is>
      </c>
      <c r="C28" s="16" t="inlineStr">
        <is>
          <t>Phil Fisher</t>
        </is>
      </c>
      <c r="D28" s="10" t="inlineStr">
        <is>
          <t>중립</t>
        </is>
      </c>
      <c r="E28" s="16" t="n">
        <v>42</v>
      </c>
      <c r="F28" s="20" t="inlineStr">
        <is>
          <t>반도체 후공정 장비 산업의 AI/HBM 장기 성장 잠재력은 있으나 ROE 10%·펀더 3.8은 "이익 마진의 탁월성과 R&amp;D 우위" 입증 부족. 모멘텀 강세만으로 "소수의 탁월한 기업" 분류 어려움.</t>
        </is>
      </c>
    </row>
    <row r="29" ht="18" customHeight="1">
      <c r="A29" s="16" t="inlineStr">
        <is>
          <t>278470</t>
        </is>
      </c>
      <c r="B29" s="16" t="inlineStr">
        <is>
          <t>에이피알</t>
        </is>
      </c>
      <c r="C29" s="16" t="inlineStr">
        <is>
          <t>Warren Buffett</t>
        </is>
      </c>
      <c r="D29" s="19" t="inlineStr">
        <is>
          <t>매도</t>
        </is>
      </c>
      <c r="E29" s="16" t="n">
        <v>72</v>
      </c>
      <c r="F29" s="20" t="inlineStr">
        <is>
          <t>ROE 65%와 영업이익률 24%는 우수하나 시가총액 16.8조는 보수적 Owner Earnings 기반 내재가치(약 5.4조) 대비 3배 이상 고평가.</t>
        </is>
      </c>
    </row>
    <row r="30" ht="18" customHeight="1">
      <c r="A30" s="16" t="inlineStr">
        <is>
          <t>278470</t>
        </is>
      </c>
      <c r="B30" s="16" t="inlineStr">
        <is>
          <t>에이피알</t>
        </is>
      </c>
      <c r="C30" s="16" t="inlineStr">
        <is>
          <t>Peter Lynch</t>
        </is>
      </c>
      <c r="D30" s="7" t="inlineStr">
        <is>
          <t>매수</t>
        </is>
      </c>
      <c r="E30" s="16" t="n">
        <v>68</v>
      </c>
      <c r="F30" s="20" t="inlineStr">
        <is>
          <t>ROE 65%와 강한 모멘텀이 Fast Grower 특성 명확, 메디큐브는 소비자가 직접 체감하는 뷰티 브랜드로 "아는 것에 투자" 철학 부합. PEG 부재로 신뢰도 제한.</t>
        </is>
      </c>
    </row>
    <row r="31" ht="18" customHeight="1">
      <c r="A31" s="16" t="inlineStr">
        <is>
          <t>278470</t>
        </is>
      </c>
      <c r="B31" s="16" t="inlineStr">
        <is>
          <t>에이피알</t>
        </is>
      </c>
      <c r="C31" s="16" t="inlineStr">
        <is>
          <t>Phil Fisher</t>
        </is>
      </c>
      <c r="D31" s="7" t="inlineStr">
        <is>
          <t>매수</t>
        </is>
      </c>
      <c r="E31" s="16" t="n">
        <v>78</v>
      </c>
      <c r="F31" s="20" t="inlineStr">
        <is>
          <t>ROE 65%, 매출 111% 성장, 영업이익 3배 급증으로 "탁월한 성장 기업" 핵심 요건 충족, 메디큐브 디바이스 자체 R&amp;D와 글로벌 D2C 확장은 체크리스트 1-5번 강하게 통과. R&amp;D 지출 미확인과 D/E 0.73은 약점.</t>
        </is>
      </c>
    </row>
    <row r="32" ht="18" customHeight="1">
      <c r="A32" s="16" t="inlineStr">
        <is>
          <t>042700</t>
        </is>
      </c>
      <c r="B32" s="16" t="inlineStr">
        <is>
          <t>한미반도체</t>
        </is>
      </c>
      <c r="C32" s="16" t="inlineStr">
        <is>
          <t>Warren Buffett</t>
        </is>
      </c>
      <c r="D32" s="7" t="inlineStr">
        <is>
          <t>매수</t>
        </is>
      </c>
      <c r="E32" s="16" t="n">
        <v>72</v>
      </c>
      <c r="F32" s="20" t="inlineStr">
        <is>
          <t>HBM TC본더 사실상 독점 moat와 ROE 31%는 매력적이나 SK하이닉스 단일고객 의존과 cyclicality는 영구보유 적합성에 의문. P/E 부재로 안전마진 검증 제한.</t>
        </is>
      </c>
    </row>
    <row r="33" ht="18" customHeight="1">
      <c r="A33" s="16" t="inlineStr">
        <is>
          <t>042700</t>
        </is>
      </c>
      <c r="B33" s="16" t="inlineStr">
        <is>
          <t>한미반도체</t>
        </is>
      </c>
      <c r="C33" s="16" t="inlineStr">
        <is>
          <t>Peter Lynch</t>
        </is>
      </c>
      <c r="D33" s="10" t="inlineStr">
        <is>
          <t>중립</t>
        </is>
      </c>
      <c r="E33" s="16" t="n">
        <v>52</v>
      </c>
      <c r="F33" s="20" t="inlineStr">
        <is>
          <t>ROE 31%·고성장은 Fast Grower 부합하나 SK하이닉스 단일고객 의존과 사이클리컬 리스크가 "예측 가능한 비즈니스"와 충돌. PEG 검증 불가.</t>
        </is>
      </c>
    </row>
    <row r="34" ht="18" customHeight="1">
      <c r="A34" s="16" t="inlineStr">
        <is>
          <t>042700</t>
        </is>
      </c>
      <c r="B34" s="16" t="inlineStr">
        <is>
          <t>한미반도체</t>
        </is>
      </c>
      <c r="C34" s="16" t="inlineStr">
        <is>
          <t>Phil Fisher</t>
        </is>
      </c>
      <c r="D34" s="7" t="inlineStr">
        <is>
          <t>매수</t>
        </is>
      </c>
      <c r="E34" s="16" t="n">
        <v>72</v>
      </c>
      <c r="F34" s="20" t="inlineStr">
        <is>
          <t>HBM TC본더 분야 사실상 독점적 기술력과 ROE 31%는 R&amp;D 우위·차별적 경쟁 요소(체크 3,11번) 강하게 충족, AI 메모리 수요로 5-10년 장기 성장 가시성 높음. SK하이닉스 단일 고객 집중도가 영업 조직 다변화 측면에서 구조적 취약점.</t>
        </is>
      </c>
    </row>
    <row r="35" ht="18" customHeight="1">
      <c r="A35" s="16" t="inlineStr">
        <is>
          <t>039030</t>
        </is>
      </c>
      <c r="B35" s="16" t="inlineStr">
        <is>
          <t>이오테크닉스</t>
        </is>
      </c>
      <c r="C35" s="16" t="inlineStr">
        <is>
          <t>Warren Buffett</t>
        </is>
      </c>
      <c r="D35" s="19" t="inlineStr">
        <is>
          <t>매도</t>
        </is>
      </c>
      <c r="E35" s="16" t="n">
        <v>72</v>
      </c>
      <c r="F35" s="20" t="inlineStr">
        <is>
          <t>ROE 8.4%는 버핏 최소기준에 크게 미달. 반도체 장비는 경기 사이클에 민감한 자본집약적 사업으로 economic moat 취약.</t>
        </is>
      </c>
    </row>
    <row r="36" ht="18" customHeight="1">
      <c r="A36" s="16" t="inlineStr">
        <is>
          <t>039030</t>
        </is>
      </c>
      <c r="B36" s="16" t="inlineStr">
        <is>
          <t>이오테크닉스</t>
        </is>
      </c>
      <c r="C36" s="16" t="inlineStr">
        <is>
          <t>Peter Lynch</t>
        </is>
      </c>
      <c r="D36" s="19" t="inlineStr">
        <is>
          <t>매도</t>
        </is>
      </c>
      <c r="E36" s="16" t="n">
        <v>68</v>
      </c>
      <c r="F36" s="20" t="inlineStr">
        <is>
          <t>반도체 경기 사이클 민감 장비주로 ROE 8.4%는 GARP(15%+) 미달, P/E·PEG 산출 불가. 펀더 3.4와 Lynch 1.6은 "이해 가능한 성장 기업" 원칙과 배치.</t>
        </is>
      </c>
    </row>
    <row r="37" ht="18" customHeight="1">
      <c r="A37" s="16" t="inlineStr">
        <is>
          <t>039030</t>
        </is>
      </c>
      <c r="B37" s="16" t="inlineStr">
        <is>
          <t>이오테크닉스</t>
        </is>
      </c>
      <c r="C37" s="16" t="inlineStr">
        <is>
          <t>Phil Fisher</t>
        </is>
      </c>
      <c r="D37" s="10" t="inlineStr">
        <is>
          <t>중립</t>
        </is>
      </c>
      <c r="E37" s="16" t="n">
        <v>42</v>
      </c>
      <c r="F37" s="20" t="inlineStr">
        <is>
          <t>반도체 레이저 가공 R&amp;D 우위는 긍정적이나 ROE 8.4%·펀더 3.4는 "평균 이상의 이익 마진" 미달. 마진 개선 추세 확인 전 확신 어려움.</t>
        </is>
      </c>
    </row>
    <row r="38" ht="18" customHeight="1">
      <c r="A38" s="16" t="inlineStr">
        <is>
          <t>079550</t>
        </is>
      </c>
      <c r="B38" s="16" t="inlineStr">
        <is>
          <t>LIG디펜스앤에어로스페이스</t>
        </is>
      </c>
      <c r="C38" s="16" t="inlineStr">
        <is>
          <t>Warren Buffett</t>
        </is>
      </c>
      <c r="D38" s="19" t="inlineStr">
        <is>
          <t>매도</t>
        </is>
      </c>
      <c r="E38" s="16" t="n">
        <v>72</v>
      </c>
      <c r="F38" s="20" t="inlineStr">
        <is>
          <t>D/E 4.46의 과도한 레버리지와 영업마진 7.4%로 moat 증거 부족. 시가총액이 Owner Earnings 기반 내재가치 대비 376% 과대평가.</t>
        </is>
      </c>
    </row>
    <row r="39" ht="18" customHeight="1">
      <c r="A39" s="16" t="inlineStr">
        <is>
          <t>079550</t>
        </is>
      </c>
      <c r="B39" s="16" t="inlineStr">
        <is>
          <t>LIG디펜스앤에어로스페이스</t>
        </is>
      </c>
      <c r="C39" s="16" t="inlineStr">
        <is>
          <t>Peter Lynch</t>
        </is>
      </c>
      <c r="D39" s="10" t="inlineStr">
        <is>
          <t>중립</t>
        </is>
      </c>
      <c r="E39" s="16" t="n">
        <v>48</v>
      </c>
      <c r="F39" s="20" t="inlineStr">
        <is>
          <t>K-방산 수출 확대라는 명확한 성장 스토리와 31% 매출 성장은 Fast Grower 요건 충족하나 D/E 4.46의 과중 부채와 유동비율 0.90은 재무 취약성. 방산 사이클 수주 집중도 우려.</t>
        </is>
      </c>
    </row>
    <row r="40" ht="18" customHeight="1">
      <c r="A40" s="16" t="inlineStr">
        <is>
          <t>079550</t>
        </is>
      </c>
      <c r="B40" s="16" t="inlineStr">
        <is>
          <t>LIG디펜스앤에어로스페이스</t>
        </is>
      </c>
      <c r="C40" s="16" t="inlineStr">
        <is>
          <t>Phil Fisher</t>
        </is>
      </c>
      <c r="D40" s="10" t="inlineStr">
        <is>
          <t>중립</t>
        </is>
      </c>
      <c r="E40" s="16" t="n">
        <v>42</v>
      </c>
      <c r="F40" s="20" t="inlineStr">
        <is>
          <t>방산 R&amp;D 집약과 K-방산 수출 성장은 장기 성장 잠재력 부합하나 D/E 4.46 과도한 레버리지는 재무 건전성 심각한 경고. ROE 16%는 양호하나 탁월한 수준 미달, 모멘텀 9.5 vs 펀더 2.9 불균형.</t>
        </is>
      </c>
    </row>
    <row r="41" ht="18" customHeight="1">
      <c r="A41" s="16" t="inlineStr">
        <is>
          <t>017960</t>
        </is>
      </c>
      <c r="B41" s="16" t="inlineStr">
        <is>
          <t>한국카본</t>
        </is>
      </c>
      <c r="C41" s="16" t="inlineStr">
        <is>
          <t>Warren Buffett</t>
        </is>
      </c>
      <c r="D41" s="19" t="inlineStr">
        <is>
          <t>매도</t>
        </is>
      </c>
      <c r="E41" s="16" t="n">
        <v>30</v>
      </c>
      <c r="F41" s="20" t="inlineStr">
        <is>
          <t>2023년 순손실을 포함한 극심한 실적 변동성으로 moat 부재. LNG 보냉재는 조선 사이클 의존 틈새시장이며 현재 이익은 사이클 고점 가능성 높음.</t>
        </is>
      </c>
    </row>
    <row r="42" ht="18" customHeight="1">
      <c r="A42" s="16" t="inlineStr">
        <is>
          <t>017960</t>
        </is>
      </c>
      <c r="B42" s="16" t="inlineStr">
        <is>
          <t>한국카본</t>
        </is>
      </c>
      <c r="C42" s="16" t="inlineStr">
        <is>
          <t>Peter Lynch</t>
        </is>
      </c>
      <c r="D42" s="10" t="inlineStr">
        <is>
          <t>중립</t>
        </is>
      </c>
      <c r="E42" s="16" t="n">
        <v>45</v>
      </c>
      <c r="F42" s="20" t="inlineStr">
        <is>
          <t>LNG선 보냉재 시장의 강력한 경쟁 우위와 ROE 17.5%는 인상적이나, P/E 부재 + 모멘텀(9.0)/펀더(3.3) 극심한 괴리는 사이클 고점 근접 신호.</t>
        </is>
      </c>
    </row>
    <row r="43" ht="18" customHeight="1">
      <c r="A43" s="16" t="inlineStr">
        <is>
          <t>017960</t>
        </is>
      </c>
      <c r="B43" s="16" t="inlineStr">
        <is>
          <t>한국카본</t>
        </is>
      </c>
      <c r="C43" s="16" t="inlineStr">
        <is>
          <t>Phil Fisher</t>
        </is>
      </c>
      <c r="D43" s="10" t="inlineStr">
        <is>
          <t>중립</t>
        </is>
      </c>
      <c r="E43" s="16" t="n">
        <v>42</v>
      </c>
      <c r="F43" s="20" t="inlineStr">
        <is>
          <t>LNG 보냉재 niche 기술은 차별적 제품 기준 일부 충족하나 조선 사이클 종속과 제한적 R&amp;D 투자는 지속적 성장 동력 다각화·혁신 주도 경쟁 우위 면에서 취약. 펀더 3.3·낮은 R&amp;D 비중으로 체크리스트 1-3번 통과 어려움.</t>
        </is>
      </c>
    </row>
    <row r="44" ht="18" customHeight="1">
      <c r="A44" s="16" t="inlineStr">
        <is>
          <t>388210</t>
        </is>
      </c>
      <c r="B44" s="16" t="inlineStr">
        <is>
          <t>씨엠티엑스</t>
        </is>
      </c>
      <c r="C44" s="16" t="inlineStr">
        <is>
          <t>Warren Buffett</t>
        </is>
      </c>
      <c r="D44" s="19" t="inlineStr">
        <is>
          <t>매도</t>
        </is>
      </c>
      <c r="E44" s="16" t="n">
        <v>85</v>
      </c>
      <c r="F44" s="20" t="inlineStr">
        <is>
          <t>ROE -11.8%로 적자 상태이며 지속적 고수익성과 economic moat 부재. 반도체 장비 산업의 자본지출과 사이클성으로 영원히 보유할 기업 조건 미충족.</t>
        </is>
      </c>
    </row>
    <row r="45" ht="18" customHeight="1">
      <c r="A45" s="16" t="inlineStr">
        <is>
          <t>388210</t>
        </is>
      </c>
      <c r="B45" s="16" t="inlineStr">
        <is>
          <t>씨엠티엑스</t>
        </is>
      </c>
      <c r="C45" s="16" t="inlineStr">
        <is>
          <t>Peter Lynch</t>
        </is>
      </c>
      <c r="D45" s="19" t="inlineStr">
        <is>
          <t>매도</t>
        </is>
      </c>
      <c r="E45" s="16" t="n">
        <v>78</v>
      </c>
      <c r="F45" s="20" t="inlineStr">
        <is>
          <t>ROE -11.8% 적자로 P/E 산출 불가, PEG 분석 적용 불가. 모멘텀(9.0) 높지만 펀더(3.2)·Lynch(2.7) 극히 낮아 "falling knife" 위험.</t>
        </is>
      </c>
    </row>
    <row r="46" ht="18" customHeight="1">
      <c r="A46" s="16" t="inlineStr">
        <is>
          <t>388210</t>
        </is>
      </c>
      <c r="B46" s="16" t="inlineStr">
        <is>
          <t>씨엠티엑스</t>
        </is>
      </c>
      <c r="C46" s="16" t="inlineStr">
        <is>
          <t>Phil Fisher</t>
        </is>
      </c>
      <c r="D46" s="19" t="inlineStr">
        <is>
          <t>매도</t>
        </is>
      </c>
      <c r="E46" s="16" t="n">
        <v>78</v>
      </c>
      <c r="F46" s="20" t="inlineStr">
        <is>
          <t>ROE -11.8% 적자로 충분한 이익 마진(체크 5번)·마진 개선 노력(6번) 미충족, 수익성 없는 기업의 R&amp;D 효율성 검증 불가. 펀더 3.2·피셔 3.1은 "소수의 탁월한 기업" 원칙에 부합하지 않음.</t>
        </is>
      </c>
    </row>
    <row r="47" ht="18" customHeight="1">
      <c r="A47" s="16" t="inlineStr">
        <is>
          <t>031980</t>
        </is>
      </c>
      <c r="B47" s="16" t="inlineStr">
        <is>
          <t>피에스케이홀딩스</t>
        </is>
      </c>
      <c r="C47" s="16" t="inlineStr">
        <is>
          <t>Warren Buffett</t>
        </is>
      </c>
      <c r="D47" s="10" t="inlineStr">
        <is>
          <t>중립</t>
        </is>
      </c>
      <c r="E47" s="16" t="n">
        <v>58</v>
      </c>
      <c r="F47" s="20" t="inlineStr">
        <is>
          <t>글로벌 1위 PR스트리퍼 점유율과 ROE 18%는 합격선이나 반도체 장비 사이클성과 P/E 부재로 안전마진 산출 불가. 펀더 점수 4.0은 비즈니스 품질 불확실성.</t>
        </is>
      </c>
    </row>
    <row r="48" ht="18" customHeight="1">
      <c r="A48" s="16" t="inlineStr">
        <is>
          <t>031980</t>
        </is>
      </c>
      <c r="B48" s="16" t="inlineStr">
        <is>
          <t>피에스케이홀딩스</t>
        </is>
      </c>
      <c r="C48" s="16" t="inlineStr">
        <is>
          <t>Peter Lynch</t>
        </is>
      </c>
      <c r="D48" s="19" t="inlineStr">
        <is>
          <t>매도</t>
        </is>
      </c>
      <c r="E48" s="16" t="n">
        <v>62</v>
      </c>
      <c r="F48" s="20" t="inlineStr">
        <is>
          <t>PR스트리퍼 글로벌 1위와 D/E 0.15·유동비율 5.56은 Lynch가 좋아하는 요소이나 2025년 매출 -3.6%, 순이익 -4.3% 동반 역성장. 반도체 장비 사이클 하강 구간.</t>
        </is>
      </c>
    </row>
    <row r="49" ht="18" customHeight="1">
      <c r="A49" s="16" t="inlineStr">
        <is>
          <t>031980</t>
        </is>
      </c>
      <c r="B49" s="16" t="inlineStr">
        <is>
          <t>피에스케이홀딩스</t>
        </is>
      </c>
      <c r="C49" s="16" t="inlineStr">
        <is>
          <t>Phil Fisher</t>
        </is>
      </c>
      <c r="D49" s="10" t="inlineStr">
        <is>
          <t>중립</t>
        </is>
      </c>
      <c r="E49" s="16" t="n">
        <v>52</v>
      </c>
      <c r="F49" s="20" t="inlineStr">
        <is>
          <t>PR스트리퍼 글로벌 1위라는 기술적 해자와 ROE 18.1%는 긍정적이나 2025 매출·순이익 역성장은 "수년간 지속 성장 가능한 제품" 체크리스트 1번 충족 실패. 성장 재개 확인 전 "좋은 기업 계속 보유" 적용 어려움.</t>
        </is>
      </c>
    </row>
    <row r="50" ht="18" customHeight="1">
      <c r="A50" s="16" t="inlineStr">
        <is>
          <t>103590</t>
        </is>
      </c>
      <c r="B50" s="16" t="inlineStr">
        <is>
          <t>일진전기</t>
        </is>
      </c>
      <c r="C50" s="16" t="inlineStr">
        <is>
          <t>Warren Buffett</t>
        </is>
      </c>
      <c r="D50" s="10" t="inlineStr">
        <is>
          <t>중립</t>
        </is>
      </c>
      <c r="E50" s="16" t="n">
        <v>42</v>
      </c>
      <c r="F50" s="20" t="inlineStr">
        <is>
          <t>ROE 17.6%는 기준 충족이나 펀더 점수 3.1로 economic moat 취약. 전선/송전케이블은 원자재·수주 사이클에 취약한 범용 제조업.</t>
        </is>
      </c>
    </row>
    <row r="51" ht="18" customHeight="1">
      <c r="A51" s="16" t="inlineStr">
        <is>
          <t>103590</t>
        </is>
      </c>
      <c r="B51" s="16" t="inlineStr">
        <is>
          <t>일진전기</t>
        </is>
      </c>
      <c r="C51" s="16" t="inlineStr">
        <is>
          <t>Peter Lynch</t>
        </is>
      </c>
      <c r="D51" s="10" t="inlineStr">
        <is>
          <t>중립</t>
        </is>
      </c>
      <c r="E51" s="16" t="n">
        <v>52</v>
      </c>
      <c r="F51" s="20" t="inlineStr">
        <is>
          <t>매출 +30%, 순이익 +143%의 폭발적 성장과 미국 그리드 인프라 투자 스토리 매력적이나 P/E 부재로 PEG 검증 불가, D/E 1.59·5%대 순이익률은 commodity 마진 압박.</t>
        </is>
      </c>
    </row>
    <row r="52" ht="18" customHeight="1">
      <c r="A52" s="16" t="inlineStr">
        <is>
          <t>103590</t>
        </is>
      </c>
      <c r="B52" s="16" t="inlineStr">
        <is>
          <t>일진전기</t>
        </is>
      </c>
      <c r="C52" s="16" t="inlineStr">
        <is>
          <t>Phil Fisher</t>
        </is>
      </c>
      <c r="D52" s="19" t="inlineStr">
        <is>
          <t>매도</t>
        </is>
      </c>
      <c r="E52" s="16" t="n">
        <v>72</v>
      </c>
      <c r="F52" s="20" t="inlineStr">
        <is>
          <t>전선/송전케이블은 R&amp;D 차별화가 구조적으로 제한된 commodity 산업으로 지속적 혁신과 경쟁적 해자 구축 어려움. 펀더 3.1·피셔 3.5 현저히 낮아 장기 성장 지속성 확신 어려움.</t>
        </is>
      </c>
    </row>
    <row r="53" ht="18" customHeight="1">
      <c r="A53" s="16" t="inlineStr">
        <is>
          <t>443060</t>
        </is>
      </c>
      <c r="B53" s="16" t="inlineStr">
        <is>
          <t>HD현대마린솔루션</t>
        </is>
      </c>
      <c r="C53" s="16" t="inlineStr">
        <is>
          <t>Warren Buffett</t>
        </is>
      </c>
      <c r="D53" s="10" t="inlineStr">
        <is>
          <t>중립</t>
        </is>
      </c>
      <c r="E53" s="16" t="n">
        <v>58</v>
      </c>
      <c r="F53" s="20" t="inlineStr">
        <is>
          <t>ROE 32.7%는 자본효율성 우수, 선박 AS recurring revenue는 moat 초기신호. 분사 후 트랙레코드 짧고 P/E 부재로 안전마진 산정 불가.</t>
        </is>
      </c>
    </row>
    <row r="54" ht="18" customHeight="1">
      <c r="A54" s="16" t="inlineStr">
        <is>
          <t>443060</t>
        </is>
      </c>
      <c r="B54" s="16" t="inlineStr">
        <is>
          <t>HD현대마린솔루션</t>
        </is>
      </c>
      <c r="C54" s="16" t="inlineStr">
        <is>
          <t>Peter Lynch</t>
        </is>
      </c>
      <c r="D54" s="10" t="inlineStr">
        <is>
          <t>중립</t>
        </is>
      </c>
      <c r="E54" s="16" t="n">
        <v>52</v>
      </c>
      <c r="F54" s="20" t="inlineStr">
        <is>
          <t>ROE 32.7%와 선박 AS 반복 수익 모델은 이해하기 쉬운 비즈니스 특성이나 P/E 부재로 PEG 검증 불가, 분사 후 트랙레코드 짧음.</t>
        </is>
      </c>
    </row>
    <row r="55" ht="18" customHeight="1">
      <c r="A55" s="16" t="inlineStr">
        <is>
          <t>443060</t>
        </is>
      </c>
      <c r="B55" s="16" t="inlineStr">
        <is>
          <t>HD현대마린솔루션</t>
        </is>
      </c>
      <c r="C55" s="16" t="inlineStr">
        <is>
          <t>Phil Fisher</t>
        </is>
      </c>
      <c r="D55" s="10" t="inlineStr">
        <is>
          <t>중립</t>
        </is>
      </c>
      <c r="E55" s="16" t="n">
        <v>52</v>
      </c>
      <c r="F55" s="20" t="inlineStr">
        <is>
          <t>ROE 32.7%와 영업이익률 17.7%의 지속적 개선과 선박 AS recurring revenue는 경영진 품질 뒷받침. 분사 후 독립 R&amp;D 트랙레코드 2년에 불과하고 R&amp;D 지출 공시 불명확.</t>
        </is>
      </c>
    </row>
    <row r="56" ht="18" customHeight="1">
      <c r="A56" s="16" t="inlineStr">
        <is>
          <t>082740</t>
        </is>
      </c>
      <c r="B56" s="16" t="inlineStr">
        <is>
          <t>한화엔진</t>
        </is>
      </c>
      <c r="C56" s="16" t="inlineStr">
        <is>
          <t>Warren Buffett</t>
        </is>
      </c>
      <c r="D56" s="19" t="inlineStr">
        <is>
          <t>매도</t>
        </is>
      </c>
      <c r="E56" s="16" t="n">
        <v>41</v>
      </c>
      <c r="F56" s="20" t="inlineStr">
        <is>
          <t>ROE 31.2%는 인상적이나 2022~2023년 연속 적자에서 급반등한 조선 사이클 종목. D/E 2.05의 위험 부채와 시가총액 대비 130% 프리미엄으로 안전마진 전무.</t>
        </is>
      </c>
    </row>
    <row r="57" ht="18" customHeight="1">
      <c r="A57" s="16" t="inlineStr">
        <is>
          <t>082740</t>
        </is>
      </c>
      <c r="B57" s="16" t="inlineStr">
        <is>
          <t>한화엔진</t>
        </is>
      </c>
      <c r="C57" s="16" t="inlineStr">
        <is>
          <t>Peter Lynch</t>
        </is>
      </c>
      <c r="D57" s="10" t="inlineStr">
        <is>
          <t>중립</t>
        </is>
      </c>
      <c r="E57" s="16" t="n">
        <v>45</v>
      </c>
      <c r="F57" s="20" t="inlineStr">
        <is>
          <t>ROE 31.2% 인상적이나 P/E 산출 불가로 PEG 분석 불가. 선박엔진은 전형적 Cyclical, 모멘텀 강함이 사이클 고점 진입 신호일 수 있음.</t>
        </is>
      </c>
    </row>
    <row r="58" ht="18" customHeight="1">
      <c r="A58" s="16" t="inlineStr">
        <is>
          <t>082740</t>
        </is>
      </c>
      <c r="B58" s="16" t="inlineStr">
        <is>
          <t>한화엔진</t>
        </is>
      </c>
      <c r="C58" s="16" t="inlineStr">
        <is>
          <t>Phil Fisher</t>
        </is>
      </c>
      <c r="D58" s="10" t="inlineStr">
        <is>
          <t>중립</t>
        </is>
      </c>
      <c r="E58" s="16" t="n">
        <v>48</v>
      </c>
      <c r="F58" s="20" t="inlineStr">
        <is>
          <t>ROE 31.2%는 경영 효율성 인상적이나 선박엔진은 조선 사이클 종속으로 지속적 R&amp;D 혁신·독자 성장 동력(1-3번) 구조적 제한. 펀더 3.1·피셔 4.2는 장기 복리 성장주 요건 미충족.</t>
        </is>
      </c>
    </row>
    <row r="59" ht="18" customHeight="1">
      <c r="A59" s="16" t="inlineStr">
        <is>
          <t>229640</t>
        </is>
      </c>
      <c r="B59" s="16" t="inlineStr">
        <is>
          <t>LS에코에너지</t>
        </is>
      </c>
      <c r="C59" s="16" t="inlineStr">
        <is>
          <t>Warren Buffett</t>
        </is>
      </c>
      <c r="D59" s="19" t="inlineStr">
        <is>
          <t>매도</t>
        </is>
      </c>
      <c r="E59" s="16" t="n">
        <v>28</v>
      </c>
      <c r="F59" s="20" t="inlineStr">
        <is>
          <t>ROE 21.5%는 인상적이나 2022년 순손실에서 급반등한 일관성 없는 이익. 영업이익률 7% 미만과 D/E 1.18로 견고한 economic moat 미달.</t>
        </is>
      </c>
    </row>
    <row r="60" ht="18" customHeight="1">
      <c r="A60" s="16" t="inlineStr">
        <is>
          <t>229640</t>
        </is>
      </c>
      <c r="B60" s="16" t="inlineStr">
        <is>
          <t>LS에코에너지</t>
        </is>
      </c>
      <c r="C60" s="16" t="inlineStr">
        <is>
          <t>Peter Lynch</t>
        </is>
      </c>
      <c r="D60" s="10" t="inlineStr">
        <is>
          <t>중립</t>
        </is>
      </c>
      <c r="E60" s="16" t="n">
        <v>42</v>
      </c>
      <c r="F60" s="20" t="inlineStr">
        <is>
          <t>ROE 21.5% 매력적이나 P/E 부재로 PEG 산출 불가, 전선/원자재는 Cyclical로 commodity 가격과 베트남 신흥국 리스크에 취약.</t>
        </is>
      </c>
    </row>
    <row r="61" ht="18" customHeight="1">
      <c r="A61" s="16" t="inlineStr">
        <is>
          <t>229640</t>
        </is>
      </c>
      <c r="B61" s="16" t="inlineStr">
        <is>
          <t>LS에코에너지</t>
        </is>
      </c>
      <c r="C61" s="16" t="inlineStr">
        <is>
          <t>Phil Fisher</t>
        </is>
      </c>
      <c r="D61" s="10" t="inlineStr">
        <is>
          <t>중립</t>
        </is>
      </c>
      <c r="E61" s="16" t="n">
        <v>42</v>
      </c>
      <c r="F61" s="20" t="inlineStr">
        <is>
          <t>ROE 21.5% 긍정적이나 전선/원자재는 지속적 R&amp;D 기반 경쟁우위 결여 commodity 구조로 장기 성장 지속성 불투명. 베트남 신흥국 리스크와 펀더 3.1은 "탁월한 소수 기업" 미달.</t>
        </is>
      </c>
    </row>
    <row r="62" ht="18" customHeight="1">
      <c r="A62" s="16" t="inlineStr">
        <is>
          <t>402340</t>
        </is>
      </c>
      <c r="B62" s="16" t="inlineStr">
        <is>
          <t>SK스퀘어</t>
        </is>
      </c>
      <c r="C62" s="16" t="inlineStr">
        <is>
          <t>Warren Buffett</t>
        </is>
      </c>
      <c r="D62" s="19" t="inlineStr">
        <is>
          <t>매도</t>
        </is>
      </c>
      <c r="E62" s="16" t="n">
        <v>72</v>
      </c>
      <c r="F62" s="20" t="inlineStr">
        <is>
          <t>SK하이닉스 지분 보유 ICT 투자 지주회사로 복잡한 레이어 구조. 2023년 영업손실 -2.3조로 moat 일관성 미입증, 순이익 기반 DCF상 안전마진 전무.</t>
        </is>
      </c>
    </row>
    <row r="63" ht="18" customHeight="1">
      <c r="A63" s="16" t="inlineStr">
        <is>
          <t>402340</t>
        </is>
      </c>
      <c r="B63" s="16" t="inlineStr">
        <is>
          <t>SK스퀘어</t>
        </is>
      </c>
      <c r="C63" s="16" t="inlineStr">
        <is>
          <t>Peter Lynch</t>
        </is>
      </c>
      <c r="D63" s="19" t="inlineStr">
        <is>
          <t>매도</t>
        </is>
      </c>
      <c r="E63" s="16" t="n">
        <v>72</v>
      </c>
      <c r="F63" s="20" t="inlineStr">
        <is>
          <t>SK하이닉스 지분을 핵심자산으로 보유한 ICT 투자 지주회사로 복잡한 지주 구조와 NAV 할인 구조적 내재. P/E 산출 불가로 GARP 적용 불가, predict Lynch 0점.</t>
        </is>
      </c>
    </row>
    <row r="64" ht="18" customHeight="1">
      <c r="A64" s="16" t="inlineStr">
        <is>
          <t>402340</t>
        </is>
      </c>
      <c r="B64" s="16" t="inlineStr">
        <is>
          <t>SK스퀘어</t>
        </is>
      </c>
      <c r="C64" s="16" t="inlineStr">
        <is>
          <t>Phil Fisher</t>
        </is>
      </c>
      <c r="D64" s="10" t="inlineStr">
        <is>
          <t>중립</t>
        </is>
      </c>
      <c r="E64" s="16" t="n">
        <v>42</v>
      </c>
      <c r="F64" s="20" t="inlineStr">
        <is>
          <t>SK하이닉스라는 탁월한 반도체 자산 보유하나 지주회사 구조상 직접적 R&amp;D 투자·독자 경쟁 우위 확인 어려움. 펀더 4.3·지주 할인 구조는 "탁월한 단일 성장 기업"과 거리.</t>
        </is>
      </c>
    </row>
    <row r="65" ht="18" customHeight="1">
      <c r="A65" s="16" t="inlineStr">
        <is>
          <t>298040</t>
        </is>
      </c>
      <c r="B65" s="16" t="inlineStr">
        <is>
          <t>효성중공업</t>
        </is>
      </c>
      <c r="C65" s="16" t="inlineStr">
        <is>
          <t>Warren Buffett</t>
        </is>
      </c>
      <c r="D65" s="19" t="inlineStr">
        <is>
          <t>매도</t>
        </is>
      </c>
      <c r="E65" s="16" t="n">
        <v>72</v>
      </c>
      <c r="F65" s="20" t="inlineStr">
        <is>
          <t>ROE 20%는 합격선이나 최근 2년만 반짝 달성. 부채비율 190%로 재무건전성 미달. 변압기 수출 호황이 주가에 과도 반영된 cyclical 종목.</t>
        </is>
      </c>
    </row>
    <row r="66" ht="18" customHeight="1">
      <c r="A66" s="16" t="inlineStr">
        <is>
          <t>298040</t>
        </is>
      </c>
      <c r="B66" s="16" t="inlineStr">
        <is>
          <t>효성중공업</t>
        </is>
      </c>
      <c r="C66" s="16" t="inlineStr">
        <is>
          <t>Peter Lynch</t>
        </is>
      </c>
      <c r="D66" s="10" t="inlineStr">
        <is>
          <t>중립</t>
        </is>
      </c>
      <c r="E66" s="16" t="n">
        <v>55</v>
      </c>
      <c r="F66" s="20" t="inlineStr">
        <is>
          <t>북미 전력망 인프라 수요라는 명확한 성장 스토리와 3년 연속 순이익 17배 성장은 매력적이나 D/E 1.9 부채와 사이클 정점 리스크. 모멘텀 9.0/펀더 3.1 갭 과열 경계.</t>
        </is>
      </c>
    </row>
    <row r="67" ht="18" customHeight="1">
      <c r="A67" s="16" t="inlineStr">
        <is>
          <t>298040</t>
        </is>
      </c>
      <c r="B67" s="16" t="inlineStr">
        <is>
          <t>효성중공업</t>
        </is>
      </c>
      <c r="C67" s="16" t="inlineStr">
        <is>
          <t>Phil Fisher</t>
        </is>
      </c>
      <c r="D67" s="10" t="inlineStr">
        <is>
          <t>중립</t>
        </is>
      </c>
      <c r="E67" s="16" t="n">
        <v>52</v>
      </c>
      <c r="F67" s="20" t="inlineStr">
        <is>
          <t>전력기기 수출과 북미 시장 진출은 장기 성장 잠재력 부합하나 펀더 3.1 낮고 cyclical 산업 특성상 지속 성장 가시성 불충분. R&amp;D 투자 수준·경영진 품질 확인 어려움.</t>
        </is>
      </c>
    </row>
    <row r="68" ht="18" customHeight="1">
      <c r="A68" s="16" t="inlineStr">
        <is>
          <t>007660</t>
        </is>
      </c>
      <c r="B68" s="16" t="inlineStr">
        <is>
          <t>이수페타시스</t>
        </is>
      </c>
      <c r="C68" s="16" t="inlineStr">
        <is>
          <t>Warren Buffett</t>
        </is>
      </c>
      <c r="D68" s="10" t="inlineStr">
        <is>
          <t>중립</t>
        </is>
      </c>
      <c r="E68" s="16" t="n">
        <v>42</v>
      </c>
      <c r="F68" s="20" t="inlineStr">
        <is>
          <t>ROE 21.2%는 버핏 기준 충족이나 PCB 제조업은 자본집약적 산업으로 moat 약함. AI 서버 수요 외부의존, P/E 부재로 안전마진 확인 어려움.</t>
        </is>
      </c>
    </row>
    <row r="69" ht="18" customHeight="1">
      <c r="A69" s="16" t="inlineStr">
        <is>
          <t>007660</t>
        </is>
      </c>
      <c r="B69" s="16" t="inlineStr">
        <is>
          <t>이수페타시스</t>
        </is>
      </c>
      <c r="C69" s="16" t="inlineStr">
        <is>
          <t>Peter Lynch</t>
        </is>
      </c>
      <c r="D69" s="10" t="inlineStr">
        <is>
          <t>중립</t>
        </is>
      </c>
      <c r="E69" s="16" t="n">
        <v>52</v>
      </c>
      <c r="F69" s="20" t="inlineStr">
        <is>
          <t>AI 서버용 MLB라는 명확한 성장 스토리와 ROE 21.2%는 Fast Grower 후보이나 P/E 미확인으로 PEG 계산 불가. PCB는 Cyclical 리스크.</t>
        </is>
      </c>
    </row>
    <row r="70" ht="18" customHeight="1">
      <c r="A70" s="16" t="inlineStr">
        <is>
          <t>007660</t>
        </is>
      </c>
      <c r="B70" s="16" t="inlineStr">
        <is>
          <t>이수페타시스</t>
        </is>
      </c>
      <c r="C70" s="16" t="inlineStr">
        <is>
          <t>Phil Fisher</t>
        </is>
      </c>
      <c r="D70" s="10" t="inlineStr">
        <is>
          <t>중립</t>
        </is>
      </c>
      <c r="E70" s="16" t="n">
        <v>55</v>
      </c>
      <c r="F70" s="20" t="inlineStr">
        <is>
          <t>ROE 21.2%와 AI 서버용 고난도 MLB PCB 기술 집약 포지셔닝은 R&amp;D 중심 성장주 기준 부합하나 펀더 4.3 낮은 매출 성장 지속성과 PCB commodity화 압력은 "탁월한 소수" 기준 불충분.</t>
        </is>
      </c>
    </row>
    <row r="71" ht="18" customHeight="1">
      <c r="A71" s="16" t="inlineStr">
        <is>
          <t>403870</t>
        </is>
      </c>
      <c r="B71" s="16" t="inlineStr">
        <is>
          <t>HPSP</t>
        </is>
      </c>
      <c r="C71" s="16" t="inlineStr">
        <is>
          <t>Warren Buffett</t>
        </is>
      </c>
      <c r="D71" s="7" t="inlineStr">
        <is>
          <t>매수</t>
        </is>
      </c>
      <c r="E71" s="16" t="n">
        <v>62</v>
      </c>
      <c r="F71" s="20" t="inlineStr">
        <is>
          <t>고압어닐링 장비 사실상 독점이라는 강력한 moat와 영업마진 52%, ROE 23.6%, D/E 0.2의 건전한 재무. Owner Earnings 기반 약 66% 안전마진.</t>
        </is>
      </c>
    </row>
    <row r="72" ht="18" customHeight="1">
      <c r="A72" s="16" t="inlineStr">
        <is>
          <t>403870</t>
        </is>
      </c>
      <c r="B72" s="16" t="inlineStr">
        <is>
          <t>HPSP</t>
        </is>
      </c>
      <c r="C72" s="16" t="inlineStr">
        <is>
          <t>Peter Lynch</t>
        </is>
      </c>
      <c r="D72" s="10" t="inlineStr">
        <is>
          <t>중립</t>
        </is>
      </c>
      <c r="E72" s="16" t="n">
        <v>52</v>
      </c>
      <c r="F72" s="20" t="inlineStr">
        <is>
          <t>52% 영업이익률과 사실상 독점적 고압어닐링 장비 niche는 Lynch가 반할 비즈니스이나 2025년 매출 -4.7%, 순이익 -15.8%의 실질 역성장 진행 중인 Cyclical 국면.</t>
        </is>
      </c>
    </row>
    <row r="73" ht="18" customHeight="1">
      <c r="A73" s="16" t="inlineStr">
        <is>
          <t>403870</t>
        </is>
      </c>
      <c r="B73" s="16" t="inlineStr">
        <is>
          <t>HPSP</t>
        </is>
      </c>
      <c r="C73" s="16" t="inlineStr">
        <is>
          <t>Phil Fisher</t>
        </is>
      </c>
      <c r="D73" s="7" t="inlineStr">
        <is>
          <t>매수</t>
        </is>
      </c>
      <c r="E73" s="16" t="n">
        <v>78</v>
      </c>
      <c r="F73" s="20" t="inlineStr">
        <is>
          <t>고압 어닐링 장비 사실상 독점적 R&amp;D 지위와 영업이익률 52%, ROE 23.6%는 차별화된 기술력·지속 가능 경쟁 우위 명확 충족. 펀더 4.3과 반도체 장비 사이클성은 약점.</t>
        </is>
      </c>
    </row>
    <row r="74" ht="18" customHeight="1">
      <c r="A74" s="16" t="inlineStr">
        <is>
          <t>267260</t>
        </is>
      </c>
      <c r="B74" s="16" t="inlineStr">
        <is>
          <t>HD현대일렉트릭</t>
        </is>
      </c>
      <c r="C74" s="16" t="inlineStr">
        <is>
          <t>Warren Buffett</t>
        </is>
      </c>
      <c r="D74" s="19" t="inlineStr">
        <is>
          <t>매도</t>
        </is>
      </c>
      <c r="E74" s="16" t="n">
        <v>82</v>
      </c>
      <c r="F74" s="20" t="inlineStr">
        <is>
          <t>ROE 36%, 영업이익률 24%로 사업 품질 탁월하나 영업마진이 3년만에 6%→24% 급등은 일시적 tailwind. 시가총액 47조는 내재가치 13.5조 대비 250% 과대평가.</t>
        </is>
      </c>
    </row>
    <row r="75" ht="18" customHeight="1">
      <c r="A75" s="16" t="inlineStr">
        <is>
          <t>267260</t>
        </is>
      </c>
      <c r="B75" s="16" t="inlineStr">
        <is>
          <t>HD현대일렉트릭</t>
        </is>
      </c>
      <c r="C75" s="16" t="inlineStr">
        <is>
          <t>Peter Lynch</t>
        </is>
      </c>
      <c r="D75" s="10" t="inlineStr">
        <is>
          <t>중립</t>
        </is>
      </c>
      <c r="E75" s="16" t="n">
        <v>52</v>
      </c>
      <c r="F75" s="20" t="inlineStr">
        <is>
          <t>ROE 36%와 순이익 성장 46.8%는 인상적이나 P/E 부재로 PEG 계산 불가. 변압기 영업마진 24% 급등은 수요 사이클 정점 가능성, D/E 1.35의 부채.</t>
        </is>
      </c>
    </row>
    <row r="76" ht="18" customHeight="1">
      <c r="A76" s="16" t="inlineStr">
        <is>
          <t>267260</t>
        </is>
      </c>
      <c r="B76" s="16" t="inlineStr">
        <is>
          <t>HD현대일렉트릭</t>
        </is>
      </c>
      <c r="C76" s="16" t="inlineStr">
        <is>
          <t>Phil Fisher</t>
        </is>
      </c>
      <c r="D76" s="10" t="inlineStr">
        <is>
          <t>중립</t>
        </is>
      </c>
      <c r="E76" s="16" t="n">
        <v>52</v>
      </c>
      <c r="F76" s="20" t="inlineStr">
        <is>
          <t>ROE 36%·영업마진 24% 인상적이나 북미 송전망 외부 사이클 의존한 일시적 급등 가능성 높아 지속 가능한 내재적 경쟁 우위 어려움. R&amp;D 차별화 보통, 펀더 4.2.</t>
        </is>
      </c>
    </row>
    <row r="77" ht="18" customHeight="1">
      <c r="A77" s="16" t="inlineStr">
        <is>
          <t>071970</t>
        </is>
      </c>
      <c r="B77" s="16" t="inlineStr">
        <is>
          <t>HD현대마린엔진</t>
        </is>
      </c>
      <c r="C77" s="16" t="inlineStr">
        <is>
          <t>Warren Buffett</t>
        </is>
      </c>
      <c r="D77" s="10" t="inlineStr">
        <is>
          <t>중립</t>
        </is>
      </c>
      <c r="E77" s="16" t="n">
        <v>52</v>
      </c>
      <c r="F77" s="20" t="inlineStr">
        <is>
          <t>ROE 33.8%는 탁월한 자본효율성이나 조선 엔진은 경기사이클에 극도로 민감한 cyclical. P/E 부재와 펀더 4.6으로 예측가능한 이익 흐름 불확실.</t>
        </is>
      </c>
    </row>
    <row r="78" ht="18" customHeight="1">
      <c r="A78" s="16" t="inlineStr">
        <is>
          <t>071970</t>
        </is>
      </c>
      <c r="B78" s="16" t="inlineStr">
        <is>
          <t>HD현대마린엔진</t>
        </is>
      </c>
      <c r="C78" s="16" t="inlineStr">
        <is>
          <t>Peter Lynch</t>
        </is>
      </c>
      <c r="D78" s="10" t="inlineStr">
        <is>
          <t>중립</t>
        </is>
      </c>
      <c r="E78" s="16" t="n">
        <v>42</v>
      </c>
      <c r="F78" s="20" t="inlineStr">
        <is>
          <t>ROE 33.8% 탁월하나 P/E 부재로 PEG 검증 불가하여 Lynch 핵심 밸류에이션 원칙 적용 불가. 선박엔진은 대표적 Cyclical로 사이클 고점 진입 여부 검증 불가.</t>
        </is>
      </c>
    </row>
    <row r="79" ht="18" customHeight="1">
      <c r="A79" s="16" t="inlineStr">
        <is>
          <t>071970</t>
        </is>
      </c>
      <c r="B79" s="16" t="inlineStr">
        <is>
          <t>HD현대마린엔진</t>
        </is>
      </c>
      <c r="C79" s="16" t="inlineStr">
        <is>
          <t>Phil Fisher</t>
        </is>
      </c>
      <c r="D79" s="7" t="inlineStr">
        <is>
          <t>매수</t>
        </is>
      </c>
      <c r="E79" s="16" t="n">
        <v>72</v>
      </c>
      <c r="F79" s="20" t="inlineStr">
        <is>
          <t>ROE 33.8%는 경영진 자본 효율성 명확 충족, HD현대 그룹 R&amp;D 기반 친환경 엔진 전환(암모니아·LNG·수소) 투자는 체크 2번(신성장원 개발)·3번(효과적 R&amp;D) 부합. 조선 사이클 의존도 약점.</t>
        </is>
      </c>
    </row>
    <row r="80" ht="18" customHeight="1">
      <c r="A80" s="16" t="inlineStr">
        <is>
          <t>014620</t>
        </is>
      </c>
      <c r="B80" s="16" t="inlineStr">
        <is>
          <t>성광벤드</t>
        </is>
      </c>
      <c r="C80" s="16" t="inlineStr">
        <is>
          <t>Warren Buffett</t>
        </is>
      </c>
      <c r="D80" s="19" t="inlineStr">
        <is>
          <t>매도</t>
        </is>
      </c>
      <c r="E80" s="16" t="n">
        <v>72</v>
      </c>
      <c r="F80" s="20" t="inlineStr">
        <is>
          <t>ROE 6.3%는 버핏 최소 기준에 크게 미달. 펀더 점수 2.9로 지속가능한 경쟁우위 부재이며 조선/플랜트는 자본집약적 사이클 산업.</t>
        </is>
      </c>
    </row>
    <row r="81" ht="18" customHeight="1">
      <c r="A81" s="16" t="inlineStr">
        <is>
          <t>014620</t>
        </is>
      </c>
      <c r="B81" s="16" t="inlineStr">
        <is>
          <t>성광벤드</t>
        </is>
      </c>
      <c r="C81" s="16" t="inlineStr">
        <is>
          <t>Peter Lynch</t>
        </is>
      </c>
      <c r="D81" s="19" t="inlineStr">
        <is>
          <t>매도</t>
        </is>
      </c>
      <c r="E81" s="16" t="n">
        <v>78</v>
      </c>
      <c r="F81" s="20" t="inlineStr">
        <is>
          <t>EPS 성장률 -16% 역성장 중이며 ROE 6.3%는 GARP 기준에 크게 미달. 조선/플랜트 Cyclical로 경기 하강 시 추가 악화 위험, predict Lynch 0.5점은 명확한 성장 스토리 부재.</t>
        </is>
      </c>
    </row>
    <row r="82" ht="18" customHeight="1">
      <c r="A82" s="16" t="inlineStr">
        <is>
          <t>014620</t>
        </is>
      </c>
      <c r="B82" s="16" t="inlineStr">
        <is>
          <t>성광벤드</t>
        </is>
      </c>
      <c r="C82" s="16" t="inlineStr">
        <is>
          <t>Phil Fisher</t>
        </is>
      </c>
      <c r="D82" s="19" t="inlineStr">
        <is>
          <t>매도</t>
        </is>
      </c>
      <c r="E82" s="16" t="n">
        <v>72</v>
      </c>
      <c r="F82" s="20" t="inlineStr">
        <is>
          <t>ROE 6.3%는 평균 이상 수익성 미달, 산업용 피팅은 지속적 R&amp;D 차별화·독점적 경쟁 우위 구조적 어려움. 펀더 2.9·피셔 2.7은 장기 복리 성장 비즈니스 품질 부족.</t>
        </is>
      </c>
    </row>
    <row r="83" ht="18" customHeight="1">
      <c r="A83" s="16" t="inlineStr">
        <is>
          <t>033100</t>
        </is>
      </c>
      <c r="B83" s="16" t="inlineStr">
        <is>
          <t>제룡전기</t>
        </is>
      </c>
      <c r="C83" s="16" t="inlineStr">
        <is>
          <t>Warren Buffett</t>
        </is>
      </c>
      <c r="D83" s="10" t="inlineStr">
        <is>
          <t>중립</t>
        </is>
      </c>
      <c r="E83" s="16" t="n">
        <v>37</v>
      </c>
      <c r="F83" s="20" t="inlineStr">
        <is>
          <t>ROE 24.5%, 영업마진 29.9%, D/E 0.11로 재무 품질은 탁월하나 매출/순이익 전년 대비 -15%, -27% 감소한 cyclical 특성. 내재가치 대비 안전마진 10%로 25% 기준 미달.</t>
        </is>
      </c>
    </row>
    <row r="84" ht="18" customHeight="1">
      <c r="A84" s="16" t="inlineStr">
        <is>
          <t>033100</t>
        </is>
      </c>
      <c r="B84" s="16" t="inlineStr">
        <is>
          <t>제룡전기</t>
        </is>
      </c>
      <c r="C84" s="16" t="inlineStr">
        <is>
          <t>Peter Lynch</t>
        </is>
      </c>
      <c r="D84" s="19" t="inlineStr">
        <is>
          <t>매도</t>
        </is>
      </c>
      <c r="E84" s="16" t="n">
        <v>72</v>
      </c>
      <c r="F84" s="20" t="inlineStr">
        <is>
          <t>매출 -15%, EPS -27% 역성장으로 수익 성장 붕괴, P/E 산출 불가. 변압기 수출 Cyclical로서 북미 전력 인프라 수요 사이클 정점 신호 명확.</t>
        </is>
      </c>
    </row>
    <row r="85" ht="18" customHeight="1">
      <c r="A85" s="16" t="inlineStr">
        <is>
          <t>033100</t>
        </is>
      </c>
      <c r="B85" s="16" t="inlineStr">
        <is>
          <t>제룡전기</t>
        </is>
      </c>
      <c r="C85" s="16" t="inlineStr">
        <is>
          <t>Phil Fisher</t>
        </is>
      </c>
      <c r="D85" s="19" t="inlineStr">
        <is>
          <t>매도</t>
        </is>
      </c>
      <c r="E85" s="16" t="n">
        <v>62</v>
      </c>
      <c r="F85" s="20" t="inlineStr">
        <is>
          <t>영업마진 30%·ROE 24.5%는 평균 이상 수익성 충족하나 매출 -14.7%·순이익 -26.5% 동반 역성장은 "수년간 성장 가능한 제품" 조건 미충족. R&amp;D 공시 부재로 혁신 지속성 검증 불가.</t>
        </is>
      </c>
    </row>
    <row r="86" ht="18" customHeight="1">
      <c r="A86" s="16" t="inlineStr">
        <is>
          <t>213420</t>
        </is>
      </c>
      <c r="B86" s="16" t="inlineStr">
        <is>
          <t>덕산네오룩스</t>
        </is>
      </c>
      <c r="C86" s="16" t="inlineStr">
        <is>
          <t>Warren Buffett</t>
        </is>
      </c>
      <c r="D86" s="19" t="inlineStr">
        <is>
          <t>매도</t>
        </is>
      </c>
      <c r="E86" s="16" t="n">
        <v>72</v>
      </c>
      <c r="F86" s="20" t="inlineStr">
        <is>
          <t>ROE 11.5%는 버핏 15% 기준 미달. OLED 소재 산업은 기술변화와 경쟁심화로 economic moat 확인 어렵고 펀더 3.6과 버핏 점수 3.7도 낮음.</t>
        </is>
      </c>
    </row>
    <row r="87" ht="18" customHeight="1">
      <c r="A87" s="16" t="inlineStr">
        <is>
          <t>213420</t>
        </is>
      </c>
      <c r="B87" s="16" t="inlineStr">
        <is>
          <t>덕산네오룩스</t>
        </is>
      </c>
      <c r="C87" s="16" t="inlineStr">
        <is>
          <t>Peter Lynch</t>
        </is>
      </c>
      <c r="D87" s="19" t="inlineStr">
        <is>
          <t>매도</t>
        </is>
      </c>
      <c r="E87" s="16" t="n">
        <v>62</v>
      </c>
      <c r="F87" s="20" t="inlineStr">
        <is>
          <t>P/E 부재로 PEG 계산 불가, ROE 11.5%는 Lynch 기준(15%+) 미달, 펀더 3.6은 Fast Grower 분류 어려움. OLED 소재는 commodity 가격 압박.</t>
        </is>
      </c>
    </row>
    <row r="88" ht="18" customHeight="1">
      <c r="A88" s="16" t="inlineStr">
        <is>
          <t>213420</t>
        </is>
      </c>
      <c r="B88" s="16" t="inlineStr">
        <is>
          <t>덕산네오룩스</t>
        </is>
      </c>
      <c r="C88" s="16" t="inlineStr">
        <is>
          <t>Phil Fisher</t>
        </is>
      </c>
      <c r="D88" s="10" t="inlineStr">
        <is>
          <t>중립</t>
        </is>
      </c>
      <c r="E88" s="16" t="n">
        <v>42</v>
      </c>
      <c r="F88" s="20" t="inlineStr">
        <is>
          <t>OLED 소재 R&amp;D 가치 인정되나 ROE 11.5% 미달, 펀더 3.6은 장기 성장 지속성 의문. 스마트폰/TV용 OLED 소재 commodity화 심화.</t>
        </is>
      </c>
    </row>
    <row r="89" ht="18" customHeight="1">
      <c r="A89" s="16" t="inlineStr">
        <is>
          <t>322000</t>
        </is>
      </c>
      <c r="B89" s="16" t="inlineStr">
        <is>
          <t>HD현대에너지솔루션</t>
        </is>
      </c>
      <c r="C89" s="16" t="inlineStr">
        <is>
          <t>Warren Buffett</t>
        </is>
      </c>
      <c r="D89" s="19" t="inlineStr">
        <is>
          <t>매도</t>
        </is>
      </c>
      <c r="E89" s="16" t="n">
        <v>72</v>
      </c>
      <c r="F89" s="20" t="inlineStr">
        <is>
          <t>ROE 10%는 기준 미달. 태양광 모듈은 중국 업체와의 가격경쟁으로 economic moat 사실상 부재한 commodity 산업. 펀더 2.7과 버핏 2.5로 훌륭한 기업 요건 자체 미충족.</t>
        </is>
      </c>
    </row>
    <row r="90" ht="18" customHeight="1">
      <c r="A90" s="16" t="inlineStr">
        <is>
          <t>322000</t>
        </is>
      </c>
      <c r="B90" s="16" t="inlineStr">
        <is>
          <t>HD현대에너지솔루션</t>
        </is>
      </c>
      <c r="C90" s="16" t="inlineStr">
        <is>
          <t>Peter Lynch</t>
        </is>
      </c>
      <c r="D90" s="19" t="inlineStr">
        <is>
          <t>매도</t>
        </is>
      </c>
      <c r="E90" s="16" t="n">
        <v>72</v>
      </c>
      <c r="F90" s="20" t="inlineStr">
        <is>
          <t>태양광 모듈은 중국과의 극심한 가격 경쟁의 commodity 사업, ROE 10%는 GARP 기준 미달, P/E 산출 불가로 PEG 분석 불가. 10-bagger 잠재력 없음.</t>
        </is>
      </c>
    </row>
    <row r="91" ht="18" customHeight="1">
      <c r="A91" s="16" t="inlineStr">
        <is>
          <t>322000</t>
        </is>
      </c>
      <c r="B91" s="16" t="inlineStr">
        <is>
          <t>HD현대에너지솔루션</t>
        </is>
      </c>
      <c r="C91" s="16" t="inlineStr">
        <is>
          <t>Phil Fisher</t>
        </is>
      </c>
      <c r="D91" s="19" t="inlineStr">
        <is>
          <t>매도</t>
        </is>
      </c>
      <c r="E91" s="16" t="n">
        <v>72</v>
      </c>
      <c r="F91" s="20" t="inlineStr">
        <is>
          <t>태양광 모듈은 R&amp;D 차별화 어려운 commodity 산업으로 지속적 기술 혁신·이익 마진 방어력 구조적 취약. 펀더 2.7·피셔 2.9 현저히 낮음.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</cols>
  <sheetData>
    <row r="1">
      <c r="A1" s="21" t="inlineStr">
        <is>
          <t>리스크 분석</t>
        </is>
      </c>
    </row>
    <row r="2"/>
    <row r="3">
      <c r="A3" s="4" t="inlineStr">
        <is>
          <t>집중도 지표</t>
        </is>
      </c>
      <c r="B3" s="3" t="inlineStr"/>
    </row>
    <row r="4">
      <c r="A4" s="3" t="inlineStr">
        <is>
          <t>상위 1종목 비중</t>
        </is>
      </c>
      <c r="B4" s="5">
        <f>SUM('포트폴리오'!D2:D2)</f>
        <v/>
      </c>
    </row>
    <row r="5">
      <c r="A5" s="3" t="inlineStr">
        <is>
          <t>상위 3종목 비중</t>
        </is>
      </c>
      <c r="B5" s="5">
        <f>SUM('포트폴리오'!D2:D4)</f>
        <v/>
      </c>
    </row>
    <row r="6">
      <c r="A6" s="3" t="inlineStr">
        <is>
          <t>상위 5종목 비중</t>
        </is>
      </c>
      <c r="B6" s="5">
        <f>SUM('포트폴리오'!D2:D6)</f>
        <v/>
      </c>
    </row>
    <row r="7">
      <c r="A7" s="3" t="inlineStr">
        <is>
          <t>상위 10종목 비중</t>
        </is>
      </c>
      <c r="B7" s="5">
        <f>SUM('포트폴리오'!D2:D8)</f>
        <v/>
      </c>
    </row>
    <row r="8">
      <c r="A8" s="3" t="inlineStr">
        <is>
          <t>HHI (허핀달 지수)</t>
        </is>
      </c>
      <c r="B8" s="22">
        <f>SUMPRODUCT('포트폴리오'!D2:D8,'포트폴리오'!D2:D8)</f>
        <v/>
      </c>
    </row>
    <row r="9"/>
    <row r="10">
      <c r="A10" s="4" t="inlineStr">
        <is>
          <t>분류 집중도</t>
        </is>
      </c>
      <c r="B10" s="3" t="inlineStr"/>
    </row>
    <row r="11">
      <c r="A11" s="3" t="inlineStr">
        <is>
          <t>최대 비현금 분류</t>
        </is>
      </c>
      <c r="B11" s="3" t="inlineStr">
        <is>
          <t>중형주</t>
        </is>
      </c>
    </row>
    <row r="12">
      <c r="A12" s="3" t="inlineStr">
        <is>
          <t>최대 비현금 분류 비중</t>
        </is>
      </c>
      <c r="B12" s="5" t="n">
        <v>0.35</v>
      </c>
    </row>
    <row r="13"/>
    <row r="14">
      <c r="A14" s="4" t="inlineStr">
        <is>
          <t>투자자 합의 품질 (LLM)</t>
        </is>
      </c>
      <c r="B14" s="3" t="inlineStr"/>
    </row>
    <row r="15">
      <c r="A15" s="3" t="inlineStr">
        <is>
          <t>만장일치 (3/3) 비율</t>
        </is>
      </c>
      <c r="B15" s="5">
        <f>COUNTIF('포트폴리오'!L2:L7,"3/3")/COUNTA('포트폴리오'!B2:B7)</f>
        <v/>
      </c>
    </row>
    <row r="16">
      <c r="A16" s="3" t="inlineStr">
        <is>
          <t>다수합의 (2/3) 종목 수</t>
        </is>
      </c>
      <c r="B16" s="3" t="n">
        <v>5</v>
      </c>
    </row>
    <row r="17"/>
    <row r="18">
      <c r="A18" s="4" t="inlineStr">
        <is>
          <t>비편입 사유 분포</t>
        </is>
      </c>
      <c r="B18" s="3" t="inlineStr"/>
    </row>
    <row r="19">
      <c r="A19" s="3" t="inlineStr">
        <is>
          <t>투자자 과반 미달</t>
        </is>
      </c>
      <c r="B19" s="3" t="n">
        <v>24</v>
      </c>
    </row>
    <row r="20">
      <c r="A20" s="3" t="inlineStr">
        <is>
          <t>최소 비중 미달</t>
        </is>
      </c>
      <c r="B2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2026-04-28T02:27:17Z</dcterms:created>
  <dcterms:modified xmlns:dcterms="http://purl.org/dc/terms/" xmlns:xsi="http://www.w3.org/2001/XMLSchema-instance" xsi:type="dcterms:W3CDTF">2026-04-28T02:27:17Z</dcterms:modified>
</cp:coreProperties>
</file>