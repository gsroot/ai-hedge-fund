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Investor Analysis" sheetId="2" state="visible" r:id="rId2"/>
    <sheet xmlns:r="http://schemas.openxmlformats.org/officeDocument/2006/relationships" name="Risk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8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8" customWidth="1" min="11" max="11"/>
    <col width="8" customWidth="1" min="12" max="12"/>
    <col width="12" customWidth="1" min="13" max="13"/>
  </cols>
  <sheetData>
    <row r="1">
      <c r="A1" s="1" t="inlineStr">
        <is>
          <t>KRX 포트폴리오 리포트</t>
        </is>
      </c>
    </row>
    <row r="2">
      <c r="A2" t="inlineStr">
        <is>
          <t>생성일: 2026-01-29</t>
        </is>
      </c>
    </row>
    <row r="3">
      <c r="A3" t="inlineStr">
        <is>
          <t>분석 기준: Buffett / Lynch / Fisher 3인 투자자 관점</t>
        </is>
      </c>
    </row>
    <row r="5">
      <c r="A5" s="2" t="inlineStr">
        <is>
          <t>순위</t>
        </is>
      </c>
      <c r="B5" s="2" t="inlineStr">
        <is>
          <t>종목명</t>
        </is>
      </c>
      <c r="C5" s="2" t="inlineStr">
        <is>
          <t>티커</t>
        </is>
      </c>
      <c r="D5" s="2" t="inlineStr">
        <is>
          <t>섹터</t>
        </is>
      </c>
      <c r="E5" s="2" t="inlineStr">
        <is>
          <t>비중</t>
        </is>
      </c>
      <c r="F5" s="2" t="inlineStr">
        <is>
          <t>신호</t>
        </is>
      </c>
      <c r="G5" s="2" t="inlineStr">
        <is>
          <t>Buffett</t>
        </is>
      </c>
      <c r="H5" s="2" t="inlineStr">
        <is>
          <t>Lynch</t>
        </is>
      </c>
      <c r="I5" s="2" t="inlineStr">
        <is>
          <t>Fisher</t>
        </is>
      </c>
      <c r="J5" s="2" t="inlineStr">
        <is>
          <t>평균신뢰도</t>
        </is>
      </c>
      <c r="K5" s="2" t="inlineStr">
        <is>
          <t>P/E</t>
        </is>
      </c>
      <c r="L5" s="2" t="inlineStr">
        <is>
          <t>ROE</t>
        </is>
      </c>
      <c r="M5" s="2" t="inlineStr">
        <is>
          <t>예상수익률</t>
        </is>
      </c>
    </row>
    <row r="6">
      <c r="A6" s="3" t="n">
        <v>1</v>
      </c>
      <c r="B6" s="3" t="inlineStr">
        <is>
          <t>제룡전기</t>
        </is>
      </c>
      <c r="C6" s="3" t="inlineStr">
        <is>
          <t>033100</t>
        </is>
      </c>
      <c r="D6" s="3" t="inlineStr">
        <is>
          <t>전력기기</t>
        </is>
      </c>
      <c r="E6" s="4" t="n">
        <v>0.123</v>
      </c>
      <c r="F6" s="5" t="inlineStr">
        <is>
          <t>Strong Buy</t>
        </is>
      </c>
      <c r="G6" s="3" t="n">
        <v>78</v>
      </c>
      <c r="H6" s="3" t="n">
        <v>88</v>
      </c>
      <c r="I6" s="3" t="n">
        <v>82</v>
      </c>
      <c r="J6" s="6" t="n">
        <v>0.83</v>
      </c>
      <c r="K6" s="7" t="n">
        <v>8.9</v>
      </c>
      <c r="L6" s="6" t="n">
        <v>0.58</v>
      </c>
      <c r="M6" s="8" t="n">
        <v>0.159</v>
      </c>
    </row>
    <row r="7">
      <c r="A7" s="3" t="n">
        <v>2</v>
      </c>
      <c r="B7" s="3" t="inlineStr">
        <is>
          <t>브이티</t>
        </is>
      </c>
      <c r="C7" s="3" t="inlineStr">
        <is>
          <t>018290</t>
        </is>
      </c>
      <c r="D7" s="3" t="inlineStr">
        <is>
          <t>화장품</t>
        </is>
      </c>
      <c r="E7" s="4" t="n">
        <v>0.123</v>
      </c>
      <c r="F7" s="5" t="inlineStr">
        <is>
          <t>Strong Buy</t>
        </is>
      </c>
      <c r="G7" s="3" t="n">
        <v>72</v>
      </c>
      <c r="H7" s="3" t="n">
        <v>93</v>
      </c>
      <c r="I7" s="3" t="n">
        <v>85</v>
      </c>
      <c r="J7" s="6" t="n">
        <v>0.83</v>
      </c>
      <c r="K7" s="7" t="n">
        <v>12.8</v>
      </c>
      <c r="L7" s="6" t="n">
        <v>0.5</v>
      </c>
      <c r="M7" s="8" t="n">
        <v>0.136</v>
      </c>
    </row>
    <row r="8">
      <c r="A8" s="3" t="n">
        <v>3</v>
      </c>
      <c r="B8" s="3" t="inlineStr">
        <is>
          <t>실리콘투</t>
        </is>
      </c>
      <c r="C8" s="3" t="inlineStr">
        <is>
          <t>257720</t>
        </is>
      </c>
      <c r="D8" s="3" t="inlineStr">
        <is>
          <t>유통</t>
        </is>
      </c>
      <c r="E8" s="4" t="n">
        <v>0.117</v>
      </c>
      <c r="F8" s="9" t="inlineStr">
        <is>
          <t>Buy</t>
        </is>
      </c>
      <c r="G8" s="3" t="n">
        <v>35</v>
      </c>
      <c r="H8" s="3" t="n">
        <v>95</v>
      </c>
      <c r="I8" s="3" t="n">
        <v>78</v>
      </c>
      <c r="J8" s="6" t="n">
        <v>0.79</v>
      </c>
      <c r="K8" s="7" t="n">
        <v>13.3</v>
      </c>
      <c r="L8" s="6" t="n">
        <v>0.49</v>
      </c>
      <c r="M8" s="8" t="n">
        <v>0.123</v>
      </c>
    </row>
    <row r="9">
      <c r="A9" s="3" t="n">
        <v>4</v>
      </c>
      <c r="B9" s="3" t="inlineStr">
        <is>
          <t>클래시스</t>
        </is>
      </c>
      <c r="C9" s="3" t="inlineStr">
        <is>
          <t>214150</t>
        </is>
      </c>
      <c r="D9" s="3" t="inlineStr">
        <is>
          <t>의료기기</t>
        </is>
      </c>
      <c r="E9" s="4" t="n">
        <v>0.114</v>
      </c>
      <c r="F9" s="9" t="inlineStr">
        <is>
          <t>Buy</t>
        </is>
      </c>
      <c r="G9" s="3" t="n">
        <v>30</v>
      </c>
      <c r="H9" s="3" t="n">
        <v>80</v>
      </c>
      <c r="I9" s="3" t="n">
        <v>82</v>
      </c>
      <c r="J9" s="6" t="n">
        <v>0.77</v>
      </c>
      <c r="K9" s="7" t="n">
        <v>14.9</v>
      </c>
      <c r="L9" s="6" t="n">
        <v>0.67</v>
      </c>
      <c r="M9" s="8" t="n">
        <v>0.108</v>
      </c>
    </row>
    <row r="10">
      <c r="A10" s="3" t="n">
        <v>5</v>
      </c>
      <c r="B10" s="3" t="inlineStr">
        <is>
          <t>피엔티</t>
        </is>
      </c>
      <c r="C10" s="3" t="inlineStr">
        <is>
          <t>137400</t>
        </is>
      </c>
      <c r="D10" s="3" t="inlineStr">
        <is>
          <t>2차전지장비</t>
        </is>
      </c>
      <c r="E10" s="4" t="n">
        <v>0.113</v>
      </c>
      <c r="F10" s="9" t="inlineStr">
        <is>
          <t>Buy</t>
        </is>
      </c>
      <c r="G10" s="3" t="n">
        <v>38</v>
      </c>
      <c r="H10" s="3" t="n">
        <v>91</v>
      </c>
      <c r="I10" s="3" t="n">
        <v>75</v>
      </c>
      <c r="J10" s="6" t="n">
        <v>0.76</v>
      </c>
      <c r="K10" s="7" t="n">
        <v>15.7</v>
      </c>
      <c r="L10" s="6" t="n">
        <v>0.43</v>
      </c>
      <c r="M10" s="8" t="n">
        <v>0.148</v>
      </c>
    </row>
    <row r="11">
      <c r="A11" s="3" t="n">
        <v>6</v>
      </c>
      <c r="B11" s="3" t="inlineStr">
        <is>
          <t>피에스케이홀딩스</t>
        </is>
      </c>
      <c r="C11" s="3" t="inlineStr">
        <is>
          <t>031980</t>
        </is>
      </c>
      <c r="D11" s="3" t="inlineStr">
        <is>
          <t>반도체장비</t>
        </is>
      </c>
      <c r="E11" s="4" t="n">
        <v>0.105</v>
      </c>
      <c r="F11" s="9" t="inlineStr">
        <is>
          <t>Buy</t>
        </is>
      </c>
      <c r="G11" s="3" t="n">
        <v>52</v>
      </c>
      <c r="H11" s="3" t="n">
        <v>82</v>
      </c>
      <c r="I11" s="3" t="n">
        <v>78</v>
      </c>
      <c r="J11" s="6" t="n">
        <v>0.71</v>
      </c>
      <c r="K11" s="7" t="n">
        <v>7.6</v>
      </c>
      <c r="L11" s="6" t="n">
        <v>0.42</v>
      </c>
      <c r="M11" s="8" t="n">
        <v>0.157</v>
      </c>
    </row>
    <row r="12">
      <c r="A12" s="3" t="n">
        <v>7</v>
      </c>
      <c r="B12" s="3" t="inlineStr">
        <is>
          <t>인카금융서비스</t>
        </is>
      </c>
      <c r="C12" s="3" t="inlineStr">
        <is>
          <t>211050</t>
        </is>
      </c>
      <c r="D12" s="3" t="inlineStr">
        <is>
          <t>금융</t>
        </is>
      </c>
      <c r="E12" s="4" t="n">
        <v>0.105</v>
      </c>
      <c r="F12" s="9" t="inlineStr">
        <is>
          <t>Buy</t>
        </is>
      </c>
      <c r="G12" s="3" t="n">
        <v>55</v>
      </c>
      <c r="H12" s="3" t="n">
        <v>85</v>
      </c>
      <c r="I12" s="3" t="n">
        <v>72</v>
      </c>
      <c r="J12" s="6" t="n">
        <v>0.71</v>
      </c>
      <c r="K12" s="7" t="n">
        <v>7.7</v>
      </c>
      <c r="L12" s="6" t="n">
        <v>0.44</v>
      </c>
      <c r="M12" s="8" t="n">
        <v>0.139</v>
      </c>
    </row>
    <row r="13">
      <c r="A13" s="3" t="n">
        <v>8</v>
      </c>
      <c r="B13" s="3" t="inlineStr">
        <is>
          <t>현대차</t>
        </is>
      </c>
      <c r="C13" s="3" t="inlineStr">
        <is>
          <t>005380</t>
        </is>
      </c>
      <c r="D13" s="3" t="inlineStr">
        <is>
          <t>자동차</t>
        </is>
      </c>
      <c r="E13" s="4" t="n">
        <v>0.1</v>
      </c>
      <c r="F13" s="9" t="inlineStr">
        <is>
          <t>Buy</t>
        </is>
      </c>
      <c r="G13" s="3" t="n">
        <v>65</v>
      </c>
      <c r="H13" s="3" t="n">
        <v>65</v>
      </c>
      <c r="I13" s="3" t="n">
        <v>72</v>
      </c>
      <c r="J13" s="6" t="n">
        <v>0.67</v>
      </c>
      <c r="K13" s="7" t="n">
        <v>7.5</v>
      </c>
      <c r="L13" s="6" t="n">
        <v>0.13</v>
      </c>
      <c r="M13" s="8" t="n">
        <v>0.091</v>
      </c>
    </row>
    <row r="14">
      <c r="A14" s="3" t="n">
        <v>9</v>
      </c>
      <c r="B14" s="3" t="inlineStr">
        <is>
          <t>SOOP</t>
        </is>
      </c>
      <c r="C14" s="3" t="inlineStr">
        <is>
          <t>067160</t>
        </is>
      </c>
      <c r="D14" s="3" t="inlineStr">
        <is>
          <t>플랫폼</t>
        </is>
      </c>
      <c r="E14" s="4" t="n">
        <v>0.05</v>
      </c>
      <c r="F14" s="9" t="inlineStr">
        <is>
          <t>Buy</t>
        </is>
      </c>
      <c r="G14" s="3" t="n">
        <v>72</v>
      </c>
      <c r="H14" s="3" t="n">
        <v>75</v>
      </c>
      <c r="I14" s="3" t="n">
        <v>54</v>
      </c>
      <c r="J14" s="6" t="n">
        <v>0.67</v>
      </c>
      <c r="K14" s="7" t="n">
        <v>6.9</v>
      </c>
      <c r="L14" s="6" t="n">
        <v>0.22</v>
      </c>
      <c r="M14" s="8" t="n">
        <v>0.097</v>
      </c>
    </row>
    <row r="15">
      <c r="A15" s="3" t="n">
        <v>10</v>
      </c>
      <c r="B15" s="3" t="inlineStr">
        <is>
          <t>기아</t>
        </is>
      </c>
      <c r="C15" s="3" t="inlineStr">
        <is>
          <t>000270</t>
        </is>
      </c>
      <c r="D15" s="3" t="inlineStr">
        <is>
          <t>자동차</t>
        </is>
      </c>
      <c r="E15" s="4" t="n">
        <v>0.05</v>
      </c>
      <c r="F15" s="9" t="inlineStr">
        <is>
          <t>Buy</t>
        </is>
      </c>
      <c r="G15" s="3" t="n">
        <v>68</v>
      </c>
      <c r="H15" s="3" t="n">
        <v>70</v>
      </c>
      <c r="I15" s="3" t="n">
        <v>50</v>
      </c>
      <c r="J15" s="6" t="n">
        <v>0.63</v>
      </c>
      <c r="K15" s="7" t="n">
        <v>6.1</v>
      </c>
      <c r="L15" s="6" t="n">
        <v>0.18</v>
      </c>
      <c r="M15" s="8" t="n">
        <v>0.096</v>
      </c>
    </row>
    <row r="18">
      <c r="A18" s="10" t="inlineStr">
        <is>
          <t>포트폴리오 요약</t>
        </is>
      </c>
      <c r="D18" s="10" t="inlineStr">
        <is>
          <t>섹터 분배</t>
        </is>
      </c>
    </row>
    <row r="19">
      <c r="A19" s="11" t="inlineStr">
        <is>
          <t>평균 P/E</t>
        </is>
      </c>
      <c r="B19" s="12">
        <f>AVERAGE(K6:K15)</f>
        <v/>
      </c>
      <c r="D19" t="inlineStr">
        <is>
          <t>화장품/뷰티</t>
        </is>
      </c>
      <c r="E19" s="13" t="n">
        <v>0.24</v>
      </c>
    </row>
    <row r="20">
      <c r="A20" s="11" t="inlineStr">
        <is>
          <t>평균 ROE</t>
        </is>
      </c>
      <c r="B20" s="13">
        <f>AVERAGE(L6:L15)</f>
        <v/>
      </c>
      <c r="D20" t="inlineStr">
        <is>
          <t>자동차</t>
        </is>
      </c>
      <c r="E20" s="13" t="n">
        <v>0.15</v>
      </c>
    </row>
    <row r="21">
      <c r="A21" s="11" t="inlineStr">
        <is>
          <t>평균 예상수익률</t>
        </is>
      </c>
      <c r="B21" s="13">
        <f>AVERAGE(M6:M15)</f>
        <v/>
      </c>
      <c r="D21" t="inlineStr">
        <is>
          <t>전력기기</t>
        </is>
      </c>
      <c r="E21" s="13" t="n">
        <v>0.123</v>
      </c>
    </row>
    <row r="22">
      <c r="A22" s="11" t="inlineStr">
        <is>
          <t>총 종목 수</t>
        </is>
      </c>
      <c r="B22">
        <f>COUNT(A6:A15)</f>
        <v/>
      </c>
      <c r="D22" t="inlineStr">
        <is>
          <t>의료기기</t>
        </is>
      </c>
      <c r="E22" s="13" t="n">
        <v>0.114</v>
      </c>
    </row>
    <row r="23">
      <c r="A23" s="11" t="inlineStr">
        <is>
          <t>평균 신뢰도</t>
        </is>
      </c>
      <c r="B23" s="13">
        <f>AVERAGE(J6:J15)</f>
        <v/>
      </c>
      <c r="D23" t="inlineStr">
        <is>
          <t>2차전지장비</t>
        </is>
      </c>
      <c r="E23" s="13" t="n">
        <v>0.113</v>
      </c>
    </row>
    <row r="24">
      <c r="D24" t="inlineStr">
        <is>
          <t>반도체장비</t>
        </is>
      </c>
      <c r="E24" s="13" t="n">
        <v>0.105</v>
      </c>
    </row>
    <row r="25">
      <c r="D25" t="inlineStr">
        <is>
          <t>금융</t>
        </is>
      </c>
      <c r="E25" s="13" t="n">
        <v>0.105</v>
      </c>
    </row>
    <row r="26">
      <c r="D26" t="inlineStr">
        <is>
          <t>플랫폼</t>
        </is>
      </c>
      <c r="E26" s="1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>
      <c r="A1" s="14" t="inlineStr">
        <is>
          <t>투자자별 분석 상세</t>
        </is>
      </c>
    </row>
    <row r="3">
      <c r="A3" s="15" t="inlineStr">
        <is>
          <t>종목명</t>
        </is>
      </c>
      <c r="B3" s="15" t="inlineStr">
        <is>
          <t>티커</t>
        </is>
      </c>
      <c r="C3" s="15" t="inlineStr">
        <is>
          <t>Buffett Signal</t>
        </is>
      </c>
      <c r="D3" s="15" t="inlineStr">
        <is>
          <t>Buffett Conf</t>
        </is>
      </c>
      <c r="E3" s="15" t="inlineStr">
        <is>
          <t>Lynch Signal</t>
        </is>
      </c>
      <c r="F3" s="15" t="inlineStr">
        <is>
          <t>Lynch Conf</t>
        </is>
      </c>
      <c r="G3" s="15" t="inlineStr">
        <is>
          <t>Fisher Signal</t>
        </is>
      </c>
      <c r="H3" s="15" t="inlineStr">
        <is>
          <t>Fisher Conf</t>
        </is>
      </c>
      <c r="I3" s="15" t="inlineStr">
        <is>
          <t>종합</t>
        </is>
      </c>
    </row>
    <row r="4">
      <c r="A4" s="16" t="inlineStr">
        <is>
          <t>제룡전기</t>
        </is>
      </c>
      <c r="B4" s="16" t="inlineStr">
        <is>
          <t>033100</t>
        </is>
      </c>
      <c r="C4" s="17" t="inlineStr">
        <is>
          <t>bullish</t>
        </is>
      </c>
      <c r="D4" s="16" t="n">
        <v>78</v>
      </c>
      <c r="E4" s="17" t="inlineStr">
        <is>
          <t>bullish</t>
        </is>
      </c>
      <c r="F4" s="16" t="n">
        <v>88</v>
      </c>
      <c r="G4" s="17" t="inlineStr">
        <is>
          <t>bullish</t>
        </is>
      </c>
      <c r="H4" s="16" t="n">
        <v>82</v>
      </c>
      <c r="I4" s="16" t="inlineStr">
        <is>
          <t>3/3 ✓</t>
        </is>
      </c>
    </row>
    <row r="5">
      <c r="A5" s="16" t="inlineStr">
        <is>
          <t>브이티</t>
        </is>
      </c>
      <c r="B5" s="16" t="inlineStr">
        <is>
          <t>018290</t>
        </is>
      </c>
      <c r="C5" s="17" t="inlineStr">
        <is>
          <t>bullish</t>
        </is>
      </c>
      <c r="D5" s="16" t="n">
        <v>72</v>
      </c>
      <c r="E5" s="17" t="inlineStr">
        <is>
          <t>bullish</t>
        </is>
      </c>
      <c r="F5" s="16" t="n">
        <v>93</v>
      </c>
      <c r="G5" s="17" t="inlineStr">
        <is>
          <t>bullish</t>
        </is>
      </c>
      <c r="H5" s="16" t="n">
        <v>85</v>
      </c>
      <c r="I5" s="16" t="inlineStr">
        <is>
          <t>3/3 ✓</t>
        </is>
      </c>
    </row>
    <row r="6">
      <c r="A6" s="16" t="inlineStr">
        <is>
          <t>실리콘투</t>
        </is>
      </c>
      <c r="B6" s="16" t="inlineStr">
        <is>
          <t>257720</t>
        </is>
      </c>
      <c r="C6" s="18" t="inlineStr">
        <is>
          <t>bearish</t>
        </is>
      </c>
      <c r="D6" s="16" t="n">
        <v>65</v>
      </c>
      <c r="E6" s="17" t="inlineStr">
        <is>
          <t>bullish</t>
        </is>
      </c>
      <c r="F6" s="16" t="n">
        <v>95</v>
      </c>
      <c r="G6" s="17" t="inlineStr">
        <is>
          <t>bullish</t>
        </is>
      </c>
      <c r="H6" s="16" t="n">
        <v>78</v>
      </c>
      <c r="I6" s="16" t="inlineStr">
        <is>
          <t>2/3 ✓</t>
        </is>
      </c>
    </row>
    <row r="7">
      <c r="A7" s="16" t="inlineStr">
        <is>
          <t>클래시스</t>
        </is>
      </c>
      <c r="B7" s="16" t="inlineStr">
        <is>
          <t>214150</t>
        </is>
      </c>
      <c r="C7" s="18" t="inlineStr">
        <is>
          <t>bearish</t>
        </is>
      </c>
      <c r="D7" s="16" t="n">
        <v>70</v>
      </c>
      <c r="E7" s="17" t="inlineStr">
        <is>
          <t>bullish</t>
        </is>
      </c>
      <c r="F7" s="16" t="n">
        <v>80</v>
      </c>
      <c r="G7" s="17" t="inlineStr">
        <is>
          <t>bullish</t>
        </is>
      </c>
      <c r="H7" s="16" t="n">
        <v>82</v>
      </c>
      <c r="I7" s="16" t="inlineStr">
        <is>
          <t>2/3 ✓</t>
        </is>
      </c>
    </row>
    <row r="8">
      <c r="A8" s="16" t="inlineStr">
        <is>
          <t>피엔티</t>
        </is>
      </c>
      <c r="B8" s="16" t="inlineStr">
        <is>
          <t>137400</t>
        </is>
      </c>
      <c r="C8" s="18" t="inlineStr">
        <is>
          <t>bearish</t>
        </is>
      </c>
      <c r="D8" s="16" t="n">
        <v>62</v>
      </c>
      <c r="E8" s="17" t="inlineStr">
        <is>
          <t>bullish</t>
        </is>
      </c>
      <c r="F8" s="16" t="n">
        <v>91</v>
      </c>
      <c r="G8" s="17" t="inlineStr">
        <is>
          <t>bullish</t>
        </is>
      </c>
      <c r="H8" s="16" t="n">
        <v>75</v>
      </c>
      <c r="I8" s="16" t="inlineStr">
        <is>
          <t>2/3 ✓</t>
        </is>
      </c>
    </row>
    <row r="9">
      <c r="A9" s="16" t="inlineStr">
        <is>
          <t>피에스케이홀딩스</t>
        </is>
      </c>
      <c r="B9" s="16" t="inlineStr">
        <is>
          <t>031980</t>
        </is>
      </c>
      <c r="C9" s="19" t="inlineStr">
        <is>
          <t>neutral</t>
        </is>
      </c>
      <c r="D9" s="16" t="n">
        <v>52</v>
      </c>
      <c r="E9" s="17" t="inlineStr">
        <is>
          <t>bullish</t>
        </is>
      </c>
      <c r="F9" s="16" t="n">
        <v>82</v>
      </c>
      <c r="G9" s="17" t="inlineStr">
        <is>
          <t>bullish</t>
        </is>
      </c>
      <c r="H9" s="16" t="n">
        <v>78</v>
      </c>
      <c r="I9" s="16" t="inlineStr">
        <is>
          <t>2/3 ✓</t>
        </is>
      </c>
    </row>
    <row r="10">
      <c r="A10" s="16" t="inlineStr">
        <is>
          <t>인카금융서비스</t>
        </is>
      </c>
      <c r="B10" s="16" t="inlineStr">
        <is>
          <t>211050</t>
        </is>
      </c>
      <c r="C10" s="19" t="inlineStr">
        <is>
          <t>neutral</t>
        </is>
      </c>
      <c r="D10" s="16" t="n">
        <v>55</v>
      </c>
      <c r="E10" s="17" t="inlineStr">
        <is>
          <t>bullish</t>
        </is>
      </c>
      <c r="F10" s="16" t="n">
        <v>85</v>
      </c>
      <c r="G10" s="17" t="inlineStr">
        <is>
          <t>bullish</t>
        </is>
      </c>
      <c r="H10" s="16" t="n">
        <v>72</v>
      </c>
      <c r="I10" s="16" t="inlineStr">
        <is>
          <t>2/3 ✓</t>
        </is>
      </c>
    </row>
    <row r="11">
      <c r="A11" s="16" t="inlineStr">
        <is>
          <t>현대차</t>
        </is>
      </c>
      <c r="B11" s="16" t="inlineStr">
        <is>
          <t>005380</t>
        </is>
      </c>
      <c r="C11" s="17" t="inlineStr">
        <is>
          <t>bullish</t>
        </is>
      </c>
      <c r="D11" s="16" t="n">
        <v>65</v>
      </c>
      <c r="E11" s="17" t="inlineStr">
        <is>
          <t>bullish</t>
        </is>
      </c>
      <c r="F11" s="16" t="n">
        <v>65</v>
      </c>
      <c r="G11" s="17" t="inlineStr">
        <is>
          <t>bullish</t>
        </is>
      </c>
      <c r="H11" s="16" t="n">
        <v>72</v>
      </c>
      <c r="I11" s="16" t="inlineStr">
        <is>
          <t>3/3 ✓</t>
        </is>
      </c>
    </row>
    <row r="12">
      <c r="A12" s="16" t="inlineStr">
        <is>
          <t>SOOP</t>
        </is>
      </c>
      <c r="B12" s="16" t="inlineStr">
        <is>
          <t>067160</t>
        </is>
      </c>
      <c r="C12" s="17" t="inlineStr">
        <is>
          <t>bullish</t>
        </is>
      </c>
      <c r="D12" s="16" t="n">
        <v>72</v>
      </c>
      <c r="E12" s="17" t="inlineStr">
        <is>
          <t>bullish</t>
        </is>
      </c>
      <c r="F12" s="16" t="n">
        <v>75</v>
      </c>
      <c r="G12" s="19" t="inlineStr">
        <is>
          <t>neutral</t>
        </is>
      </c>
      <c r="H12" s="16" t="n">
        <v>54</v>
      </c>
      <c r="I12" s="16" t="inlineStr">
        <is>
          <t>2/3 ✓</t>
        </is>
      </c>
    </row>
    <row r="13">
      <c r="A13" s="16" t="inlineStr">
        <is>
          <t>기아</t>
        </is>
      </c>
      <c r="B13" s="16" t="inlineStr">
        <is>
          <t>000270</t>
        </is>
      </c>
      <c r="C13" s="17" t="inlineStr">
        <is>
          <t>bullish</t>
        </is>
      </c>
      <c r="D13" s="16" t="n">
        <v>68</v>
      </c>
      <c r="E13" s="17" t="inlineStr">
        <is>
          <t>bullish</t>
        </is>
      </c>
      <c r="F13" s="16" t="n">
        <v>70</v>
      </c>
      <c r="G13" s="19" t="inlineStr">
        <is>
          <t>neutral</t>
        </is>
      </c>
      <c r="H13" s="16" t="n">
        <v>50</v>
      </c>
      <c r="I13" s="16" t="inlineStr">
        <is>
          <t>2/3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</cols>
  <sheetData>
    <row r="1">
      <c r="A1" s="14" t="inlineStr">
        <is>
          <t>리스크 분석</t>
        </is>
      </c>
    </row>
    <row r="3">
      <c r="A3" s="15" t="inlineStr">
        <is>
          <t>종목명</t>
        </is>
      </c>
      <c r="B3" s="15" t="inlineStr">
        <is>
          <t>주요 리스크</t>
        </is>
      </c>
      <c r="C3" s="15" t="inlineStr">
        <is>
          <t>리스크 등급</t>
        </is>
      </c>
      <c r="D3" s="15" t="inlineStr">
        <is>
          <t>완화 방안</t>
        </is>
      </c>
    </row>
    <row r="4">
      <c r="A4" s="16" t="inlineStr">
        <is>
          <t>피에스케이홀딩스</t>
        </is>
      </c>
      <c r="B4" s="16" t="inlineStr">
        <is>
          <t>반도체 사이클 의존성</t>
        </is>
      </c>
      <c r="C4" s="19" t="inlineStr">
        <is>
          <t>중간</t>
        </is>
      </c>
      <c r="D4" s="16" t="inlineStr">
        <is>
          <t>포트폴리오 비중 10.5%로 제한</t>
        </is>
      </c>
    </row>
    <row r="5">
      <c r="A5" s="16" t="inlineStr">
        <is>
          <t>피엔티</t>
        </is>
      </c>
      <c r="B5" s="16" t="inlineStr">
        <is>
          <t>높은 부채비율 (D/E 1.59)</t>
        </is>
      </c>
      <c r="C5" s="18" t="inlineStr">
        <is>
          <t>높음</t>
        </is>
      </c>
      <c r="D5" s="16" t="inlineStr">
        <is>
          <t>재무상태 모니터링, 비중 조정 검토</t>
        </is>
      </c>
    </row>
    <row r="6">
      <c r="A6" s="16" t="inlineStr">
        <is>
          <t>인카금융서비스</t>
        </is>
      </c>
      <c r="B6" s="16" t="inlineStr">
        <is>
          <t>금융업 경기 민감도, 높은 부채</t>
        </is>
      </c>
      <c r="C6" s="19" t="inlineStr">
        <is>
          <t>중간</t>
        </is>
      </c>
      <c r="D6" s="16" t="inlineStr">
        <is>
          <t>경기 지표 모니터링</t>
        </is>
      </c>
    </row>
    <row r="7">
      <c r="A7" s="16" t="inlineStr">
        <is>
          <t>실리콘투</t>
        </is>
      </c>
      <c r="B7" s="16" t="inlineStr">
        <is>
          <t>고평가 논란 (Buffett bearish)</t>
        </is>
      </c>
      <c r="C7" s="19" t="inlineStr">
        <is>
          <t>중간</t>
        </is>
      </c>
      <c r="D7" s="16" t="inlineStr">
        <is>
          <t>밸류에이션 재점검</t>
        </is>
      </c>
    </row>
    <row r="8">
      <c r="A8" s="16" t="inlineStr">
        <is>
          <t>현대차/기아</t>
        </is>
      </c>
      <c r="B8" s="16" t="inlineStr">
        <is>
          <t>EV 전환 리스크</t>
        </is>
      </c>
      <c r="C8" s="17" t="inlineStr">
        <is>
          <t>낮음</t>
        </is>
      </c>
      <c r="D8" s="16" t="inlineStr">
        <is>
          <t>섹터 합계 15%로 분산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2026-01-29T02:13:58Z</dcterms:created>
  <dcterms:modified xmlns:dcterms="http://purl.org/dc/terms/" xmlns:xsi="http://www.w3.org/2001/XMLSchema-instance" xsi:type="dcterms:W3CDTF">2026-01-29T02:13:58Z</dcterms:modified>
</cp:coreProperties>
</file>