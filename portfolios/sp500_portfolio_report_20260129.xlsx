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Sector Analysis" sheetId="2" state="visible" r:id="rId2"/>
    <sheet xmlns:r="http://schemas.openxmlformats.org/officeDocument/2006/relationships" name="Investor Analysis" sheetId="3" state="visible" r:id="rId3"/>
    <sheet xmlns:r="http://schemas.openxmlformats.org/officeDocument/2006/relationships" name="Risk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"/>
    <numFmt numFmtId="166" formatCode="+0.0%"/>
    <numFmt numFmtId="167" formatCode="0.0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b val="1"/>
      <sz val="14"/>
    </font>
    <font>
      <b val="1"/>
      <color rgb="00FF0000"/>
    </font>
    <font>
      <color rgb="00FF0000"/>
    </font>
    <font>
      <color rgb="0000B050"/>
    </font>
    <font>
      <color rgb="00FFC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S&amp;P 500 Portfolio Report</t>
        </is>
      </c>
    </row>
    <row r="2">
      <c r="A2" t="inlineStr">
        <is>
          <t>Analysis Date: 2026-01-29</t>
        </is>
      </c>
    </row>
    <row r="3">
      <c r="A3" t="inlineStr">
        <is>
          <t>Strategy: Hybrid (Fundamental 70% + Momentum 30%)</t>
        </is>
      </c>
    </row>
    <row r="4">
      <c r="A4" t="inlineStr">
        <is>
          <t>Investors: Buffett, Lynch, Fisher</t>
        </is>
      </c>
    </row>
    <row r="6">
      <c r="A6" s="2" t="inlineStr">
        <is>
          <t>Rank</t>
        </is>
      </c>
      <c r="B6" s="2" t="inlineStr">
        <is>
          <t>Ticker</t>
        </is>
      </c>
      <c r="C6" s="2" t="inlineStr">
        <is>
          <t>Company</t>
        </is>
      </c>
      <c r="D6" s="2" t="inlineStr">
        <is>
          <t>Sector</t>
        </is>
      </c>
      <c r="E6" s="2" t="inlineStr">
        <is>
          <t>Market Cap</t>
        </is>
      </c>
      <c r="F6" s="2" t="inlineStr">
        <is>
          <t>Weight</t>
        </is>
      </c>
      <c r="G6" s="2" t="inlineStr">
        <is>
          <t>Buffett</t>
        </is>
      </c>
      <c r="H6" s="2" t="inlineStr">
        <is>
          <t>Lynch</t>
        </is>
      </c>
      <c r="I6" s="2" t="inlineStr">
        <is>
          <t>Fisher</t>
        </is>
      </c>
      <c r="J6" s="2" t="inlineStr">
        <is>
          <t>Avg Confidence</t>
        </is>
      </c>
      <c r="K6" s="2" t="inlineStr">
        <is>
          <t>Expected Return</t>
        </is>
      </c>
    </row>
    <row r="7">
      <c r="A7" s="3" t="n">
        <v>1</v>
      </c>
      <c r="B7" s="4" t="inlineStr">
        <is>
          <t>ALL</t>
        </is>
      </c>
      <c r="C7" s="4" t="inlineStr">
        <is>
          <t>Allstate Corp</t>
        </is>
      </c>
      <c r="D7" s="4" t="inlineStr">
        <is>
          <t>Insurance</t>
        </is>
      </c>
      <c r="E7" s="4" t="inlineStr">
        <is>
          <t>$52B</t>
        </is>
      </c>
      <c r="F7" s="5" t="n">
        <v>0.11</v>
      </c>
      <c r="G7" s="3" t="n">
        <v>88</v>
      </c>
      <c r="H7" s="3" t="n">
        <v>92</v>
      </c>
      <c r="I7" s="3" t="n">
        <v>70</v>
      </c>
      <c r="J7" s="3" t="n">
        <v>83.3</v>
      </c>
      <c r="K7" s="6" t="n">
        <v>0.127</v>
      </c>
    </row>
    <row r="8">
      <c r="A8" s="3" t="n">
        <v>2</v>
      </c>
      <c r="B8" s="4" t="inlineStr">
        <is>
          <t>MRK</t>
        </is>
      </c>
      <c r="C8" s="4" t="inlineStr">
        <is>
          <t>Merck &amp; Co</t>
        </is>
      </c>
      <c r="D8" s="4" t="inlineStr">
        <is>
          <t>Pharmaceuticals</t>
        </is>
      </c>
      <c r="E8" s="4" t="inlineStr">
        <is>
          <t>$267B</t>
        </is>
      </c>
      <c r="F8" s="5" t="n">
        <v>0.109</v>
      </c>
      <c r="G8" s="3" t="n">
        <v>85</v>
      </c>
      <c r="H8" s="3" t="n">
        <v>88</v>
      </c>
      <c r="I8" s="3" t="n">
        <v>75</v>
      </c>
      <c r="J8" s="3" t="n">
        <v>82.7</v>
      </c>
      <c r="K8" s="6" t="n">
        <v>0.129</v>
      </c>
    </row>
    <row r="9">
      <c r="A9" s="3" t="n">
        <v>3</v>
      </c>
      <c r="B9" s="4" t="inlineStr">
        <is>
          <t>ACGL</t>
        </is>
      </c>
      <c r="C9" s="4" t="inlineStr">
        <is>
          <t>Arch Capital Group</t>
        </is>
      </c>
      <c r="D9" s="4" t="inlineStr">
        <is>
          <t>Insurance</t>
        </is>
      </c>
      <c r="E9" s="4" t="inlineStr">
        <is>
          <t>$35B</t>
        </is>
      </c>
      <c r="F9" s="5" t="n">
        <v>0.105</v>
      </c>
      <c r="G9" s="3" t="n">
        <v>80</v>
      </c>
      <c r="H9" s="3" t="n">
        <v>86</v>
      </c>
      <c r="I9" s="3" t="n">
        <v>72</v>
      </c>
      <c r="J9" s="3" t="n">
        <v>79.3</v>
      </c>
      <c r="K9" s="6" t="n">
        <v>0.116</v>
      </c>
    </row>
    <row r="10">
      <c r="A10" s="3" t="n">
        <v>4</v>
      </c>
      <c r="B10" s="4" t="inlineStr">
        <is>
          <t>TRV</t>
        </is>
      </c>
      <c r="C10" s="4" t="inlineStr">
        <is>
          <t>Travelers Companies</t>
        </is>
      </c>
      <c r="D10" s="4" t="inlineStr">
        <is>
          <t>Insurance</t>
        </is>
      </c>
      <c r="E10" s="4" t="inlineStr">
        <is>
          <t>$63B</t>
        </is>
      </c>
      <c r="F10" s="5" t="n">
        <v>0.104</v>
      </c>
      <c r="G10" s="3" t="n">
        <v>86</v>
      </c>
      <c r="H10" s="3" t="n">
        <v>81</v>
      </c>
      <c r="I10" s="3" t="n">
        <v>69</v>
      </c>
      <c r="J10" s="3" t="n">
        <v>78.7</v>
      </c>
      <c r="K10" s="6" t="n">
        <v>0.115</v>
      </c>
    </row>
    <row r="11">
      <c r="A11" s="3" t="n">
        <v>5</v>
      </c>
      <c r="B11" s="4" t="inlineStr">
        <is>
          <t>HIG</t>
        </is>
      </c>
      <c r="C11" s="4" t="inlineStr">
        <is>
          <t>Hartford Financial</t>
        </is>
      </c>
      <c r="D11" s="4" t="inlineStr">
        <is>
          <t>Insurance</t>
        </is>
      </c>
      <c r="E11" s="4" t="inlineStr">
        <is>
          <t>$36B</t>
        </is>
      </c>
      <c r="F11" s="5" t="n">
        <v>0.103</v>
      </c>
      <c r="G11" s="3" t="n">
        <v>82</v>
      </c>
      <c r="H11" s="3" t="n">
        <v>84</v>
      </c>
      <c r="I11" s="3" t="n">
        <v>68</v>
      </c>
      <c r="J11" s="3" t="n">
        <v>78</v>
      </c>
      <c r="K11" s="6" t="n">
        <v>0.119</v>
      </c>
    </row>
    <row r="12">
      <c r="A12" s="3" t="n">
        <v>6</v>
      </c>
      <c r="B12" s="4" t="inlineStr">
        <is>
          <t>DXCM</t>
        </is>
      </c>
      <c r="C12" s="4" t="inlineStr">
        <is>
          <t>DexCom Inc</t>
        </is>
      </c>
      <c r="D12" s="4" t="inlineStr">
        <is>
          <t>Medical Devices</t>
        </is>
      </c>
      <c r="E12" s="4" t="inlineStr">
        <is>
          <t>$29B</t>
        </is>
      </c>
      <c r="F12" s="5" t="n">
        <v>0.103</v>
      </c>
      <c r="G12" s="3" t="n">
        <v>72</v>
      </c>
      <c r="H12" s="3" t="n">
        <v>82</v>
      </c>
      <c r="I12" s="3" t="n">
        <v>80</v>
      </c>
      <c r="J12" s="3" t="n">
        <v>78</v>
      </c>
      <c r="K12" s="6" t="n">
        <v>0.146</v>
      </c>
    </row>
    <row r="13">
      <c r="A13" s="3" t="n">
        <v>7</v>
      </c>
      <c r="B13" s="4" t="inlineStr">
        <is>
          <t>GOOGL</t>
        </is>
      </c>
      <c r="C13" s="4" t="inlineStr">
        <is>
          <t>Alphabet Inc</t>
        </is>
      </c>
      <c r="D13" s="4" t="inlineStr">
        <is>
          <t>Technology</t>
        </is>
      </c>
      <c r="E13" s="4" t="inlineStr">
        <is>
          <t>$4070B</t>
        </is>
      </c>
      <c r="F13" s="5" t="n">
        <v>0.08500000000000001</v>
      </c>
      <c r="G13" s="3" t="n">
        <v>92</v>
      </c>
      <c r="H13" s="3" t="n">
        <v>68</v>
      </c>
      <c r="I13" s="3" t="n">
        <v>82</v>
      </c>
      <c r="J13" s="3" t="n">
        <v>80.7</v>
      </c>
      <c r="K13" s="6" t="n">
        <v>0.123</v>
      </c>
    </row>
    <row r="14">
      <c r="A14" s="3" t="n">
        <v>8</v>
      </c>
      <c r="B14" s="4" t="inlineStr">
        <is>
          <t>JNJ</t>
        </is>
      </c>
      <c r="C14" s="4" t="inlineStr">
        <is>
          <t>Johnson &amp; Johnson</t>
        </is>
      </c>
      <c r="D14" s="4" t="inlineStr">
        <is>
          <t>Healthcare</t>
        </is>
      </c>
      <c r="E14" s="4" t="inlineStr">
        <is>
          <t>$549B</t>
        </is>
      </c>
      <c r="F14" s="5" t="n">
        <v>0.077</v>
      </c>
      <c r="G14" s="3" t="n">
        <v>83</v>
      </c>
      <c r="H14" s="3" t="n">
        <v>65</v>
      </c>
      <c r="I14" s="3" t="n">
        <v>73</v>
      </c>
      <c r="J14" s="3" t="n">
        <v>73.7</v>
      </c>
      <c r="K14" s="6" t="n">
        <v>0.117</v>
      </c>
    </row>
    <row r="15">
      <c r="A15" s="3" t="n">
        <v>9</v>
      </c>
      <c r="B15" s="4" t="inlineStr">
        <is>
          <t>MPWR</t>
        </is>
      </c>
      <c r="C15" s="4" t="inlineStr">
        <is>
          <t>Monolithic Power</t>
        </is>
      </c>
      <c r="D15" s="4" t="inlineStr">
        <is>
          <t>Semiconductors</t>
        </is>
      </c>
      <c r="E15" s="4" t="inlineStr">
        <is>
          <t>$56B</t>
        </is>
      </c>
      <c r="F15" s="5" t="n">
        <v>0.075</v>
      </c>
      <c r="G15" s="3" t="n">
        <v>78</v>
      </c>
      <c r="H15" s="3" t="n">
        <v>48</v>
      </c>
      <c r="I15" s="3" t="n">
        <v>88</v>
      </c>
      <c r="J15" s="3" t="n">
        <v>71.3</v>
      </c>
      <c r="K15" s="6" t="n">
        <v>0.136</v>
      </c>
    </row>
    <row r="16">
      <c r="A16" s="3" t="n">
        <v>10</v>
      </c>
      <c r="B16" s="4" t="inlineStr">
        <is>
          <t>PAYC</t>
        </is>
      </c>
      <c r="C16" s="4" t="inlineStr">
        <is>
          <t>Paycom Software</t>
        </is>
      </c>
      <c r="D16" s="4" t="inlineStr">
        <is>
          <t>Software</t>
        </is>
      </c>
      <c r="E16" s="4" t="inlineStr">
        <is>
          <t>$7.9B</t>
        </is>
      </c>
      <c r="F16" s="5" t="n">
        <v>0.057</v>
      </c>
      <c r="G16" s="3" t="n">
        <v>80</v>
      </c>
      <c r="H16" s="3" t="n">
        <v>66</v>
      </c>
      <c r="I16" s="3" t="n">
        <v>72</v>
      </c>
      <c r="J16" s="3" t="n">
        <v>72.7</v>
      </c>
      <c r="K16" s="6" t="n">
        <v>0.125</v>
      </c>
    </row>
    <row r="17">
      <c r="A17" s="3" t="n">
        <v>11</v>
      </c>
      <c r="B17" s="4" t="inlineStr">
        <is>
          <t>INCY</t>
        </is>
      </c>
      <c r="C17" s="4" t="inlineStr">
        <is>
          <t>Incyte Corp</t>
        </is>
      </c>
      <c r="D17" s="4" t="inlineStr">
        <is>
          <t>Biotech</t>
        </is>
      </c>
      <c r="E17" s="4" t="inlineStr">
        <is>
          <t>$20B</t>
        </is>
      </c>
      <c r="F17" s="5" t="n">
        <v>0.05599999999999999</v>
      </c>
      <c r="G17" s="3" t="n">
        <v>75</v>
      </c>
      <c r="H17" s="3" t="n">
        <v>76</v>
      </c>
      <c r="I17" s="3" t="n">
        <v>62</v>
      </c>
      <c r="J17" s="3" t="n">
        <v>71</v>
      </c>
      <c r="K17" s="6" t="n">
        <v>0.127</v>
      </c>
    </row>
    <row r="18">
      <c r="A18" s="3" t="n">
        <v>12</v>
      </c>
      <c r="B18" s="4" t="inlineStr">
        <is>
          <t>AFL</t>
        </is>
      </c>
      <c r="C18" s="4" t="inlineStr">
        <is>
          <t>AFLAC Inc</t>
        </is>
      </c>
      <c r="D18" s="4" t="inlineStr">
        <is>
          <t>Insurance</t>
        </is>
      </c>
      <c r="E18" s="4" t="inlineStr">
        <is>
          <t>$58B</t>
        </is>
      </c>
      <c r="F18" s="5" t="n">
        <v>0.02</v>
      </c>
      <c r="G18" s="3" t="n">
        <v>78</v>
      </c>
      <c r="H18" s="3" t="n">
        <v>79</v>
      </c>
      <c r="I18" s="3" t="n">
        <v>58</v>
      </c>
      <c r="J18" s="3" t="n">
        <v>71.7</v>
      </c>
      <c r="K18" s="6" t="n">
        <v>0.112</v>
      </c>
    </row>
    <row r="19">
      <c r="A19" s="3" t="n">
        <v>13</v>
      </c>
      <c r="B19" s="4" t="inlineStr">
        <is>
          <t>CINF</t>
        </is>
      </c>
      <c r="C19" s="4" t="inlineStr">
        <is>
          <t>Cincinnati Financial</t>
        </is>
      </c>
      <c r="D19" s="4" t="inlineStr">
        <is>
          <t>Insurance</t>
        </is>
      </c>
      <c r="E19" s="4" t="inlineStr">
        <is>
          <t>$25B</t>
        </is>
      </c>
      <c r="F19" s="5" t="n">
        <v>0.02</v>
      </c>
      <c r="G19" s="3" t="n">
        <v>77</v>
      </c>
      <c r="H19" s="3" t="n">
        <v>80</v>
      </c>
      <c r="I19" s="3" t="n">
        <v>60</v>
      </c>
      <c r="J19" s="3" t="n">
        <v>72.3</v>
      </c>
      <c r="K19" s="6" t="n">
        <v>0.111</v>
      </c>
    </row>
    <row r="20">
      <c r="E20" s="7" t="inlineStr">
        <is>
          <t>Total:</t>
        </is>
      </c>
      <c r="F20" s="8">
        <f>SUM(F7:F19)</f>
        <v/>
      </c>
    </row>
    <row r="22">
      <c r="A22" s="9" t="inlineStr">
        <is>
          <t>Portfolio Metrics</t>
        </is>
      </c>
    </row>
    <row r="23">
      <c r="A23" t="inlineStr">
        <is>
          <t>Weighted Avg Expected Return:</t>
        </is>
      </c>
      <c r="B23" s="10">
        <f>SUMPRODUCT(F7:F19,K7:K19)/SUM(F7:F19)</f>
        <v/>
      </c>
    </row>
    <row r="24">
      <c r="A24" t="inlineStr">
        <is>
          <t>Avg Confidence:</t>
        </is>
      </c>
      <c r="B24" s="11">
        <f>AVERAGE(J7:J19)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9" t="inlineStr">
        <is>
          <t>Sector Distribution</t>
        </is>
      </c>
    </row>
    <row r="3">
      <c r="A3" s="12" t="inlineStr">
        <is>
          <t>Sector</t>
        </is>
      </c>
      <c r="B3" s="12" t="inlineStr">
        <is>
          <t>Stocks</t>
        </is>
      </c>
      <c r="C3" s="12" t="inlineStr">
        <is>
          <t>Weight</t>
        </is>
      </c>
      <c r="D3" s="12" t="inlineStr">
        <is>
          <t>Limit</t>
        </is>
      </c>
      <c r="E3" s="12" t="inlineStr">
        <is>
          <t>Status</t>
        </is>
      </c>
    </row>
    <row r="4">
      <c r="A4" s="13" t="inlineStr">
        <is>
          <t>Insurance</t>
        </is>
      </c>
      <c r="B4" s="13" t="n">
        <v>6</v>
      </c>
      <c r="C4" s="14" t="n">
        <v>0.462</v>
      </c>
      <c r="D4" s="14" t="n">
        <v>0.35</v>
      </c>
      <c r="E4" s="15" t="inlineStr">
        <is>
          <t>OVER</t>
        </is>
      </c>
    </row>
    <row r="5">
      <c r="A5" s="13" t="inlineStr">
        <is>
          <t>Healthcare/Pharma</t>
        </is>
      </c>
      <c r="B5" s="13" t="n">
        <v>4</v>
      </c>
      <c r="C5" s="14" t="n">
        <v>0.345</v>
      </c>
      <c r="D5" s="14" t="n">
        <v>0.35</v>
      </c>
      <c r="E5" s="13" t="inlineStr">
        <is>
          <t>OK</t>
        </is>
      </c>
    </row>
    <row r="6">
      <c r="A6" s="13" t="inlineStr">
        <is>
          <t>Technology</t>
        </is>
      </c>
      <c r="B6" s="13" t="n">
        <v>2</v>
      </c>
      <c r="C6" s="14" t="n">
        <v>0.16</v>
      </c>
      <c r="D6" s="14" t="n">
        <v>0.35</v>
      </c>
      <c r="E6" s="13" t="inlineStr">
        <is>
          <t>OK</t>
        </is>
      </c>
    </row>
    <row r="7">
      <c r="A7" s="13" t="inlineStr">
        <is>
          <t>Semiconductors</t>
        </is>
      </c>
      <c r="B7" s="13" t="n">
        <v>1</v>
      </c>
      <c r="C7" s="14" t="n">
        <v>0.075</v>
      </c>
      <c r="D7" s="14" t="n">
        <v>0.35</v>
      </c>
      <c r="E7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9" t="inlineStr">
        <is>
          <t>Investor Signal Matrix (30 Stocks)</t>
        </is>
      </c>
    </row>
    <row r="3">
      <c r="A3" s="12" t="inlineStr">
        <is>
          <t>Rank</t>
        </is>
      </c>
      <c r="B3" s="12" t="inlineStr">
        <is>
          <t>Ticker</t>
        </is>
      </c>
      <c r="C3" s="12" t="inlineStr">
        <is>
          <t>Company</t>
        </is>
      </c>
      <c r="D3" s="12" t="inlineStr">
        <is>
          <t>Buffett Signal</t>
        </is>
      </c>
      <c r="E3" s="12" t="inlineStr">
        <is>
          <t>Buffett Conf</t>
        </is>
      </c>
      <c r="F3" s="12" t="inlineStr">
        <is>
          <t>Lynch Signal</t>
        </is>
      </c>
      <c r="G3" s="12" t="inlineStr">
        <is>
          <t>Lynch Conf</t>
        </is>
      </c>
      <c r="H3" s="12" t="inlineStr">
        <is>
          <t>Fisher Signal</t>
        </is>
      </c>
      <c r="I3" s="12" t="inlineStr">
        <is>
          <t>Fisher Conf</t>
        </is>
      </c>
      <c r="J3" s="12" t="inlineStr">
        <is>
          <t>Consensus</t>
        </is>
      </c>
    </row>
    <row r="4">
      <c r="A4" s="13" t="n">
        <v>1</v>
      </c>
      <c r="B4" s="13" t="inlineStr">
        <is>
          <t>CF</t>
        </is>
      </c>
      <c r="C4" s="13" t="inlineStr">
        <is>
          <t>CF Industries</t>
        </is>
      </c>
      <c r="D4" s="16" t="inlineStr">
        <is>
          <t>bearish</t>
        </is>
      </c>
      <c r="E4" s="13" t="n">
        <v>55</v>
      </c>
      <c r="F4" s="17" t="inlineStr">
        <is>
          <t>bullish</t>
        </is>
      </c>
      <c r="G4" s="13" t="n">
        <v>78</v>
      </c>
      <c r="H4" s="16" t="inlineStr">
        <is>
          <t>bearish</t>
        </is>
      </c>
      <c r="I4" s="13" t="n">
        <v>35</v>
      </c>
      <c r="J4" s="3" t="inlineStr">
        <is>
          <t>1/3</t>
        </is>
      </c>
    </row>
    <row r="5">
      <c r="A5" s="13" t="n">
        <v>2</v>
      </c>
      <c r="B5" s="13" t="inlineStr">
        <is>
          <t>MU</t>
        </is>
      </c>
      <c r="C5" s="13" t="inlineStr">
        <is>
          <t>Micron Technology</t>
        </is>
      </c>
      <c r="D5" s="18" t="inlineStr">
        <is>
          <t>neutral</t>
        </is>
      </c>
      <c r="E5" s="13" t="n">
        <v>50</v>
      </c>
      <c r="F5" s="18" t="inlineStr">
        <is>
          <t>neutral</t>
        </is>
      </c>
      <c r="G5" s="13" t="n">
        <v>62</v>
      </c>
      <c r="H5" s="17" t="inlineStr">
        <is>
          <t>bullish</t>
        </is>
      </c>
      <c r="I5" s="13" t="n">
        <v>78</v>
      </c>
      <c r="J5" s="3" t="inlineStr">
        <is>
          <t>1/3</t>
        </is>
      </c>
    </row>
    <row r="6">
      <c r="A6" s="13" t="n">
        <v>3</v>
      </c>
      <c r="B6" s="13" t="inlineStr">
        <is>
          <t>LRCX</t>
        </is>
      </c>
      <c r="C6" s="13" t="inlineStr">
        <is>
          <t>Lam Research</t>
        </is>
      </c>
      <c r="D6" s="16" t="inlineStr">
        <is>
          <t>bearish</t>
        </is>
      </c>
      <c r="E6" s="13" t="n">
        <v>45</v>
      </c>
      <c r="F6" s="16" t="inlineStr">
        <is>
          <t>bearish</t>
        </is>
      </c>
      <c r="G6" s="13" t="n">
        <v>45</v>
      </c>
      <c r="H6" s="17" t="inlineStr">
        <is>
          <t>bullish</t>
        </is>
      </c>
      <c r="I6" s="13" t="n">
        <v>85</v>
      </c>
      <c r="J6" s="3" t="inlineStr">
        <is>
          <t>1/3</t>
        </is>
      </c>
    </row>
    <row r="7">
      <c r="A7" s="13" t="n">
        <v>4</v>
      </c>
      <c r="B7" s="13" t="inlineStr">
        <is>
          <t>NEM</t>
        </is>
      </c>
      <c r="C7" s="13" t="inlineStr">
        <is>
          <t>Newmont Corp</t>
        </is>
      </c>
      <c r="D7" s="16" t="inlineStr">
        <is>
          <t>bearish</t>
        </is>
      </c>
      <c r="E7" s="13" t="n">
        <v>40</v>
      </c>
      <c r="F7" s="17" t="inlineStr">
        <is>
          <t>bullish</t>
        </is>
      </c>
      <c r="G7" s="13" t="n">
        <v>72</v>
      </c>
      <c r="H7" s="18" t="inlineStr">
        <is>
          <t>neutral</t>
        </is>
      </c>
      <c r="I7" s="13" t="n">
        <v>45</v>
      </c>
      <c r="J7" s="3" t="inlineStr">
        <is>
          <t>1/3</t>
        </is>
      </c>
    </row>
    <row r="8">
      <c r="A8" s="13" t="n">
        <v>5</v>
      </c>
      <c r="B8" s="13" t="inlineStr">
        <is>
          <t>MOS</t>
        </is>
      </c>
      <c r="C8" s="13" t="inlineStr">
        <is>
          <t>Mosaic Company</t>
        </is>
      </c>
      <c r="D8" s="16" t="inlineStr">
        <is>
          <t>bearish</t>
        </is>
      </c>
      <c r="E8" s="13" t="n">
        <v>65</v>
      </c>
      <c r="F8" s="18" t="inlineStr">
        <is>
          <t>neutral</t>
        </is>
      </c>
      <c r="G8" s="13" t="n">
        <v>58</v>
      </c>
      <c r="H8" s="16" t="inlineStr">
        <is>
          <t>bearish</t>
        </is>
      </c>
      <c r="I8" s="13" t="n">
        <v>30</v>
      </c>
      <c r="J8" s="3" t="inlineStr">
        <is>
          <t>0/3</t>
        </is>
      </c>
    </row>
    <row r="9">
      <c r="A9" s="13" t="n">
        <v>6</v>
      </c>
      <c r="B9" s="13" t="inlineStr">
        <is>
          <t>ADI</t>
        </is>
      </c>
      <c r="C9" s="13" t="inlineStr">
        <is>
          <t>Analog Devices</t>
        </is>
      </c>
      <c r="D9" s="16" t="inlineStr">
        <is>
          <t>bearish</t>
        </is>
      </c>
      <c r="E9" s="13" t="n">
        <v>30</v>
      </c>
      <c r="F9" s="16" t="inlineStr">
        <is>
          <t>bearish</t>
        </is>
      </c>
      <c r="G9" s="13" t="n">
        <v>38</v>
      </c>
      <c r="H9" s="18" t="inlineStr">
        <is>
          <t>neutral</t>
        </is>
      </c>
      <c r="I9" s="13" t="n">
        <v>55</v>
      </c>
      <c r="J9" s="3" t="inlineStr">
        <is>
          <t>0/3</t>
        </is>
      </c>
    </row>
    <row r="10">
      <c r="A10" s="13" t="n">
        <v>7</v>
      </c>
      <c r="B10" s="13" t="inlineStr">
        <is>
          <t>DXCM</t>
        </is>
      </c>
      <c r="C10" s="13" t="inlineStr">
        <is>
          <t>DexCom Inc</t>
        </is>
      </c>
      <c r="D10" s="17" t="inlineStr">
        <is>
          <t>bullish</t>
        </is>
      </c>
      <c r="E10" s="13" t="n">
        <v>72</v>
      </c>
      <c r="F10" s="17" t="inlineStr">
        <is>
          <t>bullish</t>
        </is>
      </c>
      <c r="G10" s="13" t="n">
        <v>82</v>
      </c>
      <c r="H10" s="17" t="inlineStr">
        <is>
          <t>bullish</t>
        </is>
      </c>
      <c r="I10" s="13" t="n">
        <v>80</v>
      </c>
      <c r="J10" s="19" t="inlineStr">
        <is>
          <t>3/3</t>
        </is>
      </c>
    </row>
    <row r="11">
      <c r="A11" s="13" t="n">
        <v>8</v>
      </c>
      <c r="B11" s="13" t="inlineStr">
        <is>
          <t>CTRA</t>
        </is>
      </c>
      <c r="C11" s="13" t="inlineStr">
        <is>
          <t>Coterra Energy</t>
        </is>
      </c>
      <c r="D11" s="18" t="inlineStr">
        <is>
          <t>neutral</t>
        </is>
      </c>
      <c r="E11" s="13" t="n">
        <v>58</v>
      </c>
      <c r="F11" s="18" t="inlineStr">
        <is>
          <t>neutral</t>
        </is>
      </c>
      <c r="G11" s="13" t="n">
        <v>64</v>
      </c>
      <c r="H11" s="16" t="inlineStr">
        <is>
          <t>bearish</t>
        </is>
      </c>
      <c r="I11" s="13" t="n">
        <v>38</v>
      </c>
      <c r="J11" s="3" t="inlineStr">
        <is>
          <t>0/3</t>
        </is>
      </c>
    </row>
    <row r="12">
      <c r="A12" s="13" t="n">
        <v>9</v>
      </c>
      <c r="B12" s="13" t="inlineStr">
        <is>
          <t>AKAM</t>
        </is>
      </c>
      <c r="C12" s="13" t="inlineStr">
        <is>
          <t>Akamai Technologies</t>
        </is>
      </c>
      <c r="D12" s="18" t="inlineStr">
        <is>
          <t>neutral</t>
        </is>
      </c>
      <c r="E12" s="13" t="n">
        <v>62</v>
      </c>
      <c r="F12" s="18" t="inlineStr">
        <is>
          <t>neutral</t>
        </is>
      </c>
      <c r="G12" s="13" t="n">
        <v>55</v>
      </c>
      <c r="H12" s="18" t="inlineStr">
        <is>
          <t>neutral</t>
        </is>
      </c>
      <c r="I12" s="13" t="n">
        <v>58</v>
      </c>
      <c r="J12" s="3" t="inlineStr">
        <is>
          <t>0/3</t>
        </is>
      </c>
    </row>
    <row r="13">
      <c r="A13" s="13" t="n">
        <v>10</v>
      </c>
      <c r="B13" s="13" t="inlineStr">
        <is>
          <t>MPWR</t>
        </is>
      </c>
      <c r="C13" s="13" t="inlineStr">
        <is>
          <t>Monolithic Power</t>
        </is>
      </c>
      <c r="D13" s="17" t="inlineStr">
        <is>
          <t>bullish</t>
        </is>
      </c>
      <c r="E13" s="13" t="n">
        <v>78</v>
      </c>
      <c r="F13" s="16" t="inlineStr">
        <is>
          <t>bearish</t>
        </is>
      </c>
      <c r="G13" s="13" t="n">
        <v>48</v>
      </c>
      <c r="H13" s="17" t="inlineStr">
        <is>
          <t>bullish</t>
        </is>
      </c>
      <c r="I13" s="13" t="n">
        <v>88</v>
      </c>
      <c r="J13" s="20" t="inlineStr">
        <is>
          <t>2/3</t>
        </is>
      </c>
    </row>
    <row r="14">
      <c r="A14" s="13" t="n">
        <v>11</v>
      </c>
      <c r="B14" s="13" t="inlineStr">
        <is>
          <t>STX</t>
        </is>
      </c>
      <c r="C14" s="13" t="inlineStr">
        <is>
          <t>Seagate Technology</t>
        </is>
      </c>
      <c r="D14" s="16" t="inlineStr">
        <is>
          <t>bearish</t>
        </is>
      </c>
      <c r="E14" s="13" t="n">
        <v>35</v>
      </c>
      <c r="F14" s="16" t="inlineStr">
        <is>
          <t>bearish</t>
        </is>
      </c>
      <c r="G14" s="13" t="n">
        <v>42</v>
      </c>
      <c r="H14" s="18" t="inlineStr">
        <is>
          <t>neutral</t>
        </is>
      </c>
      <c r="I14" s="13" t="n">
        <v>52</v>
      </c>
      <c r="J14" s="3" t="inlineStr">
        <is>
          <t>0/3</t>
        </is>
      </c>
    </row>
    <row r="15">
      <c r="A15" s="13" t="n">
        <v>12</v>
      </c>
      <c r="B15" s="13" t="inlineStr">
        <is>
          <t>MRK</t>
        </is>
      </c>
      <c r="C15" s="13" t="inlineStr">
        <is>
          <t>Merck &amp; Co</t>
        </is>
      </c>
      <c r="D15" s="17" t="inlineStr">
        <is>
          <t>bullish</t>
        </is>
      </c>
      <c r="E15" s="13" t="n">
        <v>85</v>
      </c>
      <c r="F15" s="17" t="inlineStr">
        <is>
          <t>bullish</t>
        </is>
      </c>
      <c r="G15" s="13" t="n">
        <v>88</v>
      </c>
      <c r="H15" s="17" t="inlineStr">
        <is>
          <t>bullish</t>
        </is>
      </c>
      <c r="I15" s="13" t="n">
        <v>75</v>
      </c>
      <c r="J15" s="19" t="inlineStr">
        <is>
          <t>3/3</t>
        </is>
      </c>
    </row>
    <row r="16">
      <c r="A16" s="13" t="n">
        <v>13</v>
      </c>
      <c r="B16" s="13" t="inlineStr">
        <is>
          <t>ALL</t>
        </is>
      </c>
      <c r="C16" s="13" t="inlineStr">
        <is>
          <t>Allstate Corp</t>
        </is>
      </c>
      <c r="D16" s="17" t="inlineStr">
        <is>
          <t>bullish</t>
        </is>
      </c>
      <c r="E16" s="13" t="n">
        <v>88</v>
      </c>
      <c r="F16" s="17" t="inlineStr">
        <is>
          <t>bullish</t>
        </is>
      </c>
      <c r="G16" s="13" t="n">
        <v>92</v>
      </c>
      <c r="H16" s="17" t="inlineStr">
        <is>
          <t>bullish</t>
        </is>
      </c>
      <c r="I16" s="13" t="n">
        <v>70</v>
      </c>
      <c r="J16" s="19" t="inlineStr">
        <is>
          <t>3/3</t>
        </is>
      </c>
    </row>
    <row r="17">
      <c r="A17" s="13" t="n">
        <v>14</v>
      </c>
      <c r="B17" s="13" t="inlineStr">
        <is>
          <t>INCY</t>
        </is>
      </c>
      <c r="C17" s="13" t="inlineStr">
        <is>
          <t>Incyte Corp</t>
        </is>
      </c>
      <c r="D17" s="17" t="inlineStr">
        <is>
          <t>bullish</t>
        </is>
      </c>
      <c r="E17" s="13" t="n">
        <v>75</v>
      </c>
      <c r="F17" s="17" t="inlineStr">
        <is>
          <t>bullish</t>
        </is>
      </c>
      <c r="G17" s="13" t="n">
        <v>76</v>
      </c>
      <c r="H17" s="18" t="inlineStr">
        <is>
          <t>neutral</t>
        </is>
      </c>
      <c r="I17" s="13" t="n">
        <v>62</v>
      </c>
      <c r="J17" s="20" t="inlineStr">
        <is>
          <t>2/3</t>
        </is>
      </c>
    </row>
    <row r="18">
      <c r="A18" s="13" t="n">
        <v>15</v>
      </c>
      <c r="B18" s="13" t="inlineStr">
        <is>
          <t>PAYC</t>
        </is>
      </c>
      <c r="C18" s="13" t="inlineStr">
        <is>
          <t>Paycom Software</t>
        </is>
      </c>
      <c r="D18" s="17" t="inlineStr">
        <is>
          <t>bullish</t>
        </is>
      </c>
      <c r="E18" s="13" t="n">
        <v>80</v>
      </c>
      <c r="F18" s="18" t="inlineStr">
        <is>
          <t>neutral</t>
        </is>
      </c>
      <c r="G18" s="13" t="n">
        <v>66</v>
      </c>
      <c r="H18" s="17" t="inlineStr">
        <is>
          <t>bullish</t>
        </is>
      </c>
      <c r="I18" s="13" t="n">
        <v>72</v>
      </c>
      <c r="J18" s="20" t="inlineStr">
        <is>
          <t>2/3</t>
        </is>
      </c>
    </row>
    <row r="19">
      <c r="A19" s="13" t="n">
        <v>16</v>
      </c>
      <c r="B19" s="13" t="inlineStr">
        <is>
          <t>GOOGL</t>
        </is>
      </c>
      <c r="C19" s="13" t="inlineStr">
        <is>
          <t>Alphabet Inc</t>
        </is>
      </c>
      <c r="D19" s="17" t="inlineStr">
        <is>
          <t>bullish</t>
        </is>
      </c>
      <c r="E19" s="13" t="n">
        <v>92</v>
      </c>
      <c r="F19" s="18" t="inlineStr">
        <is>
          <t>neutral</t>
        </is>
      </c>
      <c r="G19" s="13" t="n">
        <v>68</v>
      </c>
      <c r="H19" s="17" t="inlineStr">
        <is>
          <t>bullish</t>
        </is>
      </c>
      <c r="I19" s="13" t="n">
        <v>82</v>
      </c>
      <c r="J19" s="20" t="inlineStr">
        <is>
          <t>2/3</t>
        </is>
      </c>
    </row>
    <row r="20">
      <c r="A20" s="13" t="n">
        <v>17</v>
      </c>
      <c r="B20" s="13" t="inlineStr">
        <is>
          <t>ENPH</t>
        </is>
      </c>
      <c r="C20" s="13" t="inlineStr">
        <is>
          <t>Enphase Energy</t>
        </is>
      </c>
      <c r="D20" s="18" t="inlineStr">
        <is>
          <t>neutral</t>
        </is>
      </c>
      <c r="E20" s="13" t="n">
        <v>48</v>
      </c>
      <c r="F20" s="18" t="inlineStr">
        <is>
          <t>neutral</t>
        </is>
      </c>
      <c r="G20" s="13" t="n">
        <v>54</v>
      </c>
      <c r="H20" s="18" t="inlineStr">
        <is>
          <t>neutral</t>
        </is>
      </c>
      <c r="I20" s="13" t="n">
        <v>48</v>
      </c>
      <c r="J20" s="3" t="inlineStr">
        <is>
          <t>0/3</t>
        </is>
      </c>
    </row>
    <row r="21">
      <c r="A21" s="13" t="n">
        <v>18</v>
      </c>
      <c r="B21" s="13" t="inlineStr">
        <is>
          <t>HIG</t>
        </is>
      </c>
      <c r="C21" s="13" t="inlineStr">
        <is>
          <t>Hartford Financial</t>
        </is>
      </c>
      <c r="D21" s="17" t="inlineStr">
        <is>
          <t>bullish</t>
        </is>
      </c>
      <c r="E21" s="13" t="n">
        <v>82</v>
      </c>
      <c r="F21" s="17" t="inlineStr">
        <is>
          <t>bullish</t>
        </is>
      </c>
      <c r="G21" s="13" t="n">
        <v>84</v>
      </c>
      <c r="H21" s="17" t="inlineStr">
        <is>
          <t>bullish</t>
        </is>
      </c>
      <c r="I21" s="13" t="n">
        <v>68</v>
      </c>
      <c r="J21" s="19" t="inlineStr">
        <is>
          <t>3/3</t>
        </is>
      </c>
    </row>
    <row r="22">
      <c r="A22" s="13" t="n">
        <v>19</v>
      </c>
      <c r="B22" s="13" t="inlineStr">
        <is>
          <t>HII</t>
        </is>
      </c>
      <c r="C22" s="13" t="inlineStr">
        <is>
          <t>Huntington Ingalls</t>
        </is>
      </c>
      <c r="D22" s="18" t="inlineStr">
        <is>
          <t>neutral</t>
        </is>
      </c>
      <c r="E22" s="13" t="n">
        <v>55</v>
      </c>
      <c r="F22" s="18" t="inlineStr">
        <is>
          <t>neutral</t>
        </is>
      </c>
      <c r="G22" s="13" t="n">
        <v>58</v>
      </c>
      <c r="H22" s="18" t="inlineStr">
        <is>
          <t>neutral</t>
        </is>
      </c>
      <c r="I22" s="13" t="n">
        <v>55</v>
      </c>
      <c r="J22" s="3" t="inlineStr">
        <is>
          <t>0/3</t>
        </is>
      </c>
    </row>
    <row r="23">
      <c r="A23" s="13" t="n">
        <v>20</v>
      </c>
      <c r="B23" s="13" t="inlineStr">
        <is>
          <t>JNJ</t>
        </is>
      </c>
      <c r="C23" s="13" t="inlineStr">
        <is>
          <t>Johnson &amp; Johnson</t>
        </is>
      </c>
      <c r="D23" s="17" t="inlineStr">
        <is>
          <t>bullish</t>
        </is>
      </c>
      <c r="E23" s="13" t="n">
        <v>83</v>
      </c>
      <c r="F23" s="18" t="inlineStr">
        <is>
          <t>neutral</t>
        </is>
      </c>
      <c r="G23" s="13" t="n">
        <v>65</v>
      </c>
      <c r="H23" s="17" t="inlineStr">
        <is>
          <t>bullish</t>
        </is>
      </c>
      <c r="I23" s="13" t="n">
        <v>73</v>
      </c>
      <c r="J23" s="20" t="inlineStr">
        <is>
          <t>2/3</t>
        </is>
      </c>
    </row>
    <row r="24">
      <c r="A24" s="13" t="n">
        <v>21</v>
      </c>
      <c r="B24" s="13" t="inlineStr">
        <is>
          <t>ACGL</t>
        </is>
      </c>
      <c r="C24" s="13" t="inlineStr">
        <is>
          <t>Arch Capital</t>
        </is>
      </c>
      <c r="D24" s="17" t="inlineStr">
        <is>
          <t>bullish</t>
        </is>
      </c>
      <c r="E24" s="13" t="n">
        <v>80</v>
      </c>
      <c r="F24" s="17" t="inlineStr">
        <is>
          <t>bullish</t>
        </is>
      </c>
      <c r="G24" s="13" t="n">
        <v>86</v>
      </c>
      <c r="H24" s="17" t="inlineStr">
        <is>
          <t>bullish</t>
        </is>
      </c>
      <c r="I24" s="13" t="n">
        <v>72</v>
      </c>
      <c r="J24" s="19" t="inlineStr">
        <is>
          <t>3/3</t>
        </is>
      </c>
    </row>
    <row r="25">
      <c r="A25" s="13" t="n">
        <v>22</v>
      </c>
      <c r="B25" s="13" t="inlineStr">
        <is>
          <t>TRV</t>
        </is>
      </c>
      <c r="C25" s="13" t="inlineStr">
        <is>
          <t>Travelers Companies</t>
        </is>
      </c>
      <c r="D25" s="17" t="inlineStr">
        <is>
          <t>bullish</t>
        </is>
      </c>
      <c r="E25" s="13" t="n">
        <v>86</v>
      </c>
      <c r="F25" s="17" t="inlineStr">
        <is>
          <t>bullish</t>
        </is>
      </c>
      <c r="G25" s="13" t="n">
        <v>81</v>
      </c>
      <c r="H25" s="17" t="inlineStr">
        <is>
          <t>bullish</t>
        </is>
      </c>
      <c r="I25" s="13" t="n">
        <v>69</v>
      </c>
      <c r="J25" s="19" t="inlineStr">
        <is>
          <t>3/3</t>
        </is>
      </c>
    </row>
    <row r="26">
      <c r="A26" s="13" t="n">
        <v>23</v>
      </c>
      <c r="B26" s="13" t="inlineStr">
        <is>
          <t>FFIV</t>
        </is>
      </c>
      <c r="C26" s="13" t="inlineStr">
        <is>
          <t>F5 Inc</t>
        </is>
      </c>
      <c r="D26" s="18" t="inlineStr">
        <is>
          <t>neutral</t>
        </is>
      </c>
      <c r="E26" s="13" t="n">
        <v>65</v>
      </c>
      <c r="F26" s="18" t="inlineStr">
        <is>
          <t>neutral</t>
        </is>
      </c>
      <c r="G26" s="13" t="n">
        <v>62</v>
      </c>
      <c r="H26" s="18" t="inlineStr">
        <is>
          <t>neutral</t>
        </is>
      </c>
      <c r="I26" s="13" t="n">
        <v>63</v>
      </c>
      <c r="J26" s="3" t="inlineStr">
        <is>
          <t>0/3</t>
        </is>
      </c>
    </row>
    <row r="27">
      <c r="A27" s="13" t="n">
        <v>24</v>
      </c>
      <c r="B27" s="13" t="inlineStr">
        <is>
          <t>OKE</t>
        </is>
      </c>
      <c r="C27" s="13" t="inlineStr">
        <is>
          <t>ONEOK Inc</t>
        </is>
      </c>
      <c r="D27" s="18" t="inlineStr">
        <is>
          <t>neutral</t>
        </is>
      </c>
      <c r="E27" s="13" t="n">
        <v>60</v>
      </c>
      <c r="F27" s="18" t="inlineStr">
        <is>
          <t>neutral</t>
        </is>
      </c>
      <c r="G27" s="13" t="n">
        <v>63</v>
      </c>
      <c r="H27" s="18" t="inlineStr">
        <is>
          <t>neutral</t>
        </is>
      </c>
      <c r="I27" s="13" t="n">
        <v>50</v>
      </c>
      <c r="J27" s="3" t="inlineStr">
        <is>
          <t>0/3</t>
        </is>
      </c>
    </row>
    <row r="28">
      <c r="A28" s="13" t="n">
        <v>25</v>
      </c>
      <c r="B28" s="13" t="inlineStr">
        <is>
          <t>AMAT</t>
        </is>
      </c>
      <c r="C28" s="13" t="inlineStr">
        <is>
          <t>Applied Materials</t>
        </is>
      </c>
      <c r="D28" s="18" t="inlineStr">
        <is>
          <t>neutral</t>
        </is>
      </c>
      <c r="E28" s="13" t="n">
        <v>58</v>
      </c>
      <c r="F28" s="16" t="inlineStr">
        <is>
          <t>bearish</t>
        </is>
      </c>
      <c r="G28" s="13" t="n">
        <v>52</v>
      </c>
      <c r="H28" s="17" t="inlineStr">
        <is>
          <t>bullish</t>
        </is>
      </c>
      <c r="I28" s="13" t="n">
        <v>79</v>
      </c>
      <c r="J28" s="3" t="inlineStr">
        <is>
          <t>1/3</t>
        </is>
      </c>
    </row>
    <row r="29">
      <c r="A29" s="13" t="n">
        <v>26</v>
      </c>
      <c r="B29" s="13" t="inlineStr">
        <is>
          <t>AFL</t>
        </is>
      </c>
      <c r="C29" s="13" t="inlineStr">
        <is>
          <t>AFLAC Inc</t>
        </is>
      </c>
      <c r="D29" s="17" t="inlineStr">
        <is>
          <t>bullish</t>
        </is>
      </c>
      <c r="E29" s="13" t="n">
        <v>78</v>
      </c>
      <c r="F29" s="17" t="inlineStr">
        <is>
          <t>bullish</t>
        </is>
      </c>
      <c r="G29" s="13" t="n">
        <v>79</v>
      </c>
      <c r="H29" s="18" t="inlineStr">
        <is>
          <t>neutral</t>
        </is>
      </c>
      <c r="I29" s="13" t="n">
        <v>58</v>
      </c>
      <c r="J29" s="20" t="inlineStr">
        <is>
          <t>2/3</t>
        </is>
      </c>
    </row>
    <row r="30">
      <c r="A30" s="13" t="n">
        <v>27</v>
      </c>
      <c r="B30" s="13" t="inlineStr">
        <is>
          <t>CINF</t>
        </is>
      </c>
      <c r="C30" s="13" t="inlineStr">
        <is>
          <t>Cincinnati Financial</t>
        </is>
      </c>
      <c r="D30" s="17" t="inlineStr">
        <is>
          <t>bullish</t>
        </is>
      </c>
      <c r="E30" s="13" t="n">
        <v>77</v>
      </c>
      <c r="F30" s="17" t="inlineStr">
        <is>
          <t>bullish</t>
        </is>
      </c>
      <c r="G30" s="13" t="n">
        <v>80</v>
      </c>
      <c r="H30" s="18" t="inlineStr">
        <is>
          <t>neutral</t>
        </is>
      </c>
      <c r="I30" s="13" t="n">
        <v>60</v>
      </c>
      <c r="J30" s="20" t="inlineStr">
        <is>
          <t>2/3</t>
        </is>
      </c>
    </row>
    <row r="31">
      <c r="A31" s="13" t="n">
        <v>28</v>
      </c>
      <c r="B31" s="13" t="inlineStr">
        <is>
          <t>GILD</t>
        </is>
      </c>
      <c r="C31" s="13" t="inlineStr">
        <is>
          <t>Gilead Sciences</t>
        </is>
      </c>
      <c r="D31" s="17" t="inlineStr">
        <is>
          <t>bullish</t>
        </is>
      </c>
      <c r="E31" s="13" t="n">
        <v>82</v>
      </c>
      <c r="F31" s="18" t="inlineStr">
        <is>
          <t>neutral</t>
        </is>
      </c>
      <c r="G31" s="13" t="n">
        <v>64</v>
      </c>
      <c r="H31" s="18" t="inlineStr">
        <is>
          <t>neutral</t>
        </is>
      </c>
      <c r="I31" s="13" t="n">
        <v>55</v>
      </c>
      <c r="J31" s="3" t="inlineStr">
        <is>
          <t>1/3</t>
        </is>
      </c>
    </row>
    <row r="32">
      <c r="A32" s="13" t="n">
        <v>29</v>
      </c>
      <c r="B32" s="13" t="inlineStr">
        <is>
          <t>BMY</t>
        </is>
      </c>
      <c r="C32" s="13" t="inlineStr">
        <is>
          <t>Bristol-Myers Squibb</t>
        </is>
      </c>
      <c r="D32" s="18" t="inlineStr">
        <is>
          <t>neutral</t>
        </is>
      </c>
      <c r="E32" s="13" t="n">
        <v>68</v>
      </c>
      <c r="F32" s="18" t="inlineStr">
        <is>
          <t>neutral</t>
        </is>
      </c>
      <c r="G32" s="13" t="n">
        <v>58</v>
      </c>
      <c r="H32" s="16" t="inlineStr">
        <is>
          <t>bearish</t>
        </is>
      </c>
      <c r="I32" s="13" t="n">
        <v>42</v>
      </c>
      <c r="J32" s="3" t="inlineStr">
        <is>
          <t>0/3</t>
        </is>
      </c>
    </row>
    <row r="33">
      <c r="A33" s="13" t="n">
        <v>30</v>
      </c>
      <c r="B33" s="13" t="inlineStr">
        <is>
          <t>PNC</t>
        </is>
      </c>
      <c r="C33" s="13" t="inlineStr">
        <is>
          <t>PNC Financial</t>
        </is>
      </c>
      <c r="D33" s="17" t="inlineStr">
        <is>
          <t>bullish</t>
        </is>
      </c>
      <c r="E33" s="13" t="n">
        <v>75</v>
      </c>
      <c r="F33" s="18" t="inlineStr">
        <is>
          <t>neutral</t>
        </is>
      </c>
      <c r="G33" s="13" t="n">
        <v>66</v>
      </c>
      <c r="H33" s="18" t="inlineStr">
        <is>
          <t>neutral</t>
        </is>
      </c>
      <c r="I33" s="13" t="n">
        <v>58</v>
      </c>
      <c r="J33" s="3" t="inlineStr">
        <is>
          <t>1/3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Risk Analysis &amp; Recommendations</t>
        </is>
      </c>
    </row>
    <row r="3">
      <c r="A3" s="21" t="inlineStr">
        <is>
          <t>Key Risks</t>
        </is>
      </c>
    </row>
    <row r="4">
      <c r="A4" t="inlineStr">
        <is>
          <t>1. Sector Concentration: Insurance sector at 46.2% (exceeds 35% limit)</t>
        </is>
      </c>
    </row>
    <row r="5">
      <c r="A5" t="inlineStr">
        <is>
          <t>2. Interest Rate Sensitivity: Insurance holdings vulnerable to rate changes</t>
        </is>
      </c>
    </row>
    <row r="6">
      <c r="A6" t="inlineStr">
        <is>
          <t>3. Semiconductor Cycle: MPWR may be near cycle peak</t>
        </is>
      </c>
    </row>
    <row r="7">
      <c r="A7" t="inlineStr">
        <is>
          <t>4. Patent Cliffs: MRK (Keytruda), GILD face upcoming expirations</t>
        </is>
      </c>
    </row>
    <row r="9">
      <c r="A9" s="21" t="inlineStr">
        <is>
          <t>Recommendations</t>
        </is>
      </c>
    </row>
    <row r="10">
      <c r="A10" t="inlineStr">
        <is>
          <t>1. Consider reducing insurance sector to 35% by removing AFL, CINF</t>
        </is>
      </c>
    </row>
    <row r="11">
      <c r="A11" t="inlineStr">
        <is>
          <t>2. Monitor MRK quarterly for Keytruda patent updates</t>
        </is>
      </c>
    </row>
    <row r="12">
      <c r="A12" t="inlineStr">
        <is>
          <t>3. Add consumer staples or utilities for further diversification</t>
        </is>
      </c>
    </row>
    <row r="13">
      <c r="A13" t="inlineStr">
        <is>
          <t>4. Review DXCM competitive position in CGM market 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2026-01-29T02:14:13Z</dcterms:created>
  <dcterms:modified xmlns:dcterms="http://purl.org/dc/terms/" xmlns:xsi="http://www.w3.org/2001/XMLSchema-instance" xsi:type="dcterms:W3CDTF">2026-01-29T02:14:13Z</dcterms:modified>
</cp:coreProperties>
</file>